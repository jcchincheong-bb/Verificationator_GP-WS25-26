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My Drive\HSRW\Semester 5\Group Project\Group-Project_WS2526\3.3 BOM\"/>
    </mc:Choice>
  </mc:AlternateContent>
  <xr:revisionPtr revIDLastSave="0" documentId="13_ncr:81_{6DBF1F01-75ED-449A-96F9-A3DF94CEE4C0}" xr6:coauthVersionLast="47" xr6:coauthVersionMax="47" xr10:uidLastSave="{00000000-0000-0000-0000-000000000000}"/>
  <bookViews>
    <workbookView xWindow="-108" yWindow="-108" windowWidth="23256" windowHeight="12576" activeTab="3" xr2:uid="{A395E204-22DF-443E-8F79-70B9AE8E1FF5}"/>
  </bookViews>
  <sheets>
    <sheet name="BOM_word" sheetId="3" r:id="rId1"/>
    <sheet name="BOM_template" sheetId="2" r:id="rId2"/>
    <sheet name="BOM_SW" sheetId="1" r:id="rId3"/>
    <sheet name="BOM_elec" sheetId="4" r:id="rId4"/>
  </sheets>
  <definedNames>
    <definedName name="_ftn1" localSheetId="0">BOM_word!$A$34</definedName>
    <definedName name="_ftnref1" localSheetId="0">BOM_word!$E$1</definedName>
  </definedNames>
  <calcPr calcId="191029"/>
  <customWorkbookViews>
    <customWorkbookView name="Justin - Personal View" guid="{85B28F95-3488-41DC-90A4-160F98D9658E}" mergeInterval="0" personalView="1" maximized="1" xWindow="-9" yWindow="-9" windowWidth="1938" windowHeight="1048" activeSheetId="4"/>
    <customWorkbookView name="Ahmad - Personal View" guid="{5F732A23-763A-43CE-844F-98E769D3D5C8}" mergeInterval="0" personalView="1" maximized="1" xWindow="-9" yWindow="-9" windowWidth="1938" windowHeight="1038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27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13" i="2"/>
  <c r="C1" i="2"/>
  <c r="B1" i="2"/>
  <c r="A1" i="2"/>
  <c r="G3" i="2"/>
  <c r="G4" i="2"/>
  <c r="G5" i="2"/>
  <c r="G6" i="2"/>
  <c r="G7" i="2"/>
  <c r="G8" i="2"/>
  <c r="G9" i="2"/>
  <c r="G10" i="2"/>
  <c r="G11" i="2"/>
  <c r="G12" i="2"/>
  <c r="G2" i="2"/>
  <c r="D3" i="2"/>
  <c r="D4" i="2"/>
  <c r="D5" i="2"/>
  <c r="D6" i="2"/>
  <c r="D7" i="2"/>
  <c r="D8" i="2"/>
  <c r="D9" i="2"/>
  <c r="D10" i="2"/>
  <c r="D11" i="2"/>
  <c r="D12" i="2"/>
  <c r="D2" i="2"/>
  <c r="B3" i="2"/>
  <c r="B4" i="2"/>
  <c r="B5" i="2"/>
  <c r="B6" i="2"/>
  <c r="B7" i="2"/>
  <c r="B8" i="2"/>
  <c r="B9" i="2"/>
  <c r="B10" i="2"/>
  <c r="B11" i="2"/>
  <c r="B12" i="2"/>
  <c r="B2" i="2"/>
  <c r="C12" i="2"/>
  <c r="C3" i="2"/>
  <c r="C4" i="2"/>
  <c r="C5" i="2"/>
  <c r="C6" i="2"/>
  <c r="C7" i="2"/>
  <c r="C8" i="2"/>
  <c r="C9" i="2"/>
  <c r="C10" i="2"/>
  <c r="C11" i="2"/>
  <c r="C2" i="2"/>
  <c r="A3" i="2"/>
  <c r="A4" i="2"/>
  <c r="A5" i="2"/>
  <c r="A6" i="2"/>
  <c r="A7" i="2"/>
  <c r="A8" i="2"/>
  <c r="A9" i="2"/>
  <c r="A10" i="2"/>
  <c r="A11" i="2"/>
  <c r="A12" i="2"/>
  <c r="A2" i="2"/>
</calcChain>
</file>

<file path=xl/sharedStrings.xml><?xml version="1.0" encoding="utf-8"?>
<sst xmlns="http://schemas.openxmlformats.org/spreadsheetml/2006/main" count="510" uniqueCount="359">
  <si>
    <t>ITEM NO.</t>
  </si>
  <si>
    <t>PART NUMBER</t>
  </si>
  <si>
    <t>DESCRIPTION</t>
  </si>
  <si>
    <t>QTY.</t>
  </si>
  <si>
    <t>1</t>
  </si>
  <si>
    <t>1500bot- rev G</t>
  </si>
  <si>
    <t>2</t>
  </si>
  <si>
    <t>1501-931T-CLR</t>
  </si>
  <si>
    <t>3</t>
  </si>
  <si>
    <t>Aluminum Box Pt 1</t>
  </si>
  <si>
    <t>4</t>
  </si>
  <si>
    <t>Aluminum Box Pt 2</t>
  </si>
  <si>
    <t>5</t>
  </si>
  <si>
    <t>gasket</t>
  </si>
  <si>
    <t>6</t>
  </si>
  <si>
    <t>Washer ISO 7092 - 3</t>
  </si>
  <si>
    <t>7</t>
  </si>
  <si>
    <r>
      <t xml:space="preserve">ISO 7380 - M3 x 8 -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8N</t>
    </r>
  </si>
  <si>
    <t>8</t>
  </si>
  <si>
    <r>
      <t xml:space="preserve">ISO - 4032 - M3 - W -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N</t>
    </r>
  </si>
  <si>
    <t>9</t>
  </si>
  <si>
    <t>panel</t>
  </si>
  <si>
    <t>10</t>
  </si>
  <si>
    <t>1500-PF</t>
  </si>
  <si>
    <t>11</t>
  </si>
  <si>
    <t>O-Ring</t>
  </si>
  <si>
    <t>12</t>
  </si>
  <si>
    <r>
      <t xml:space="preserve">Compartment for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Cables n other stuff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idk what to call it</t>
    </r>
  </si>
  <si>
    <t>13</t>
  </si>
  <si>
    <r>
      <t xml:space="preserve">Seal For Screen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Bezel</t>
    </r>
  </si>
  <si>
    <t>14</t>
  </si>
  <si>
    <t>Touch Screen</t>
  </si>
  <si>
    <t>15</t>
  </si>
  <si>
    <r>
      <t>PushButton_P19-TF-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POWER-RGB</t>
    </r>
  </si>
  <si>
    <t>16</t>
  </si>
  <si>
    <t>SS-52200-001</t>
  </si>
  <si>
    <t>17</t>
  </si>
  <si>
    <t>PLTR5-8MM-PR1</t>
  </si>
  <si>
    <t>18</t>
  </si>
  <si>
    <r>
      <t xml:space="preserve">ISO 7380 - M3 x 6 -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6N</t>
    </r>
  </si>
  <si>
    <t>19</t>
  </si>
  <si>
    <t>Battery Cradle</t>
  </si>
  <si>
    <t>20</t>
  </si>
  <si>
    <r>
      <t xml:space="preserve">Lipo Battery 7000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mAh</t>
    </r>
  </si>
  <si>
    <t>21</t>
  </si>
  <si>
    <t>Velcro Strap</t>
  </si>
  <si>
    <t>22</t>
  </si>
  <si>
    <r>
      <t xml:space="preserve">ISO 7380 - M3 x 10 -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10N</t>
    </r>
  </si>
  <si>
    <t>23</t>
  </si>
  <si>
    <r>
      <t xml:space="preserve">Load Cell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Compartment</t>
    </r>
  </si>
  <si>
    <t>24</t>
  </si>
  <si>
    <r>
      <t xml:space="preserve">LC-40-0003 - 3D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CAD load cell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pancake 3000 kgf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(F3000K)</t>
    </r>
  </si>
  <si>
    <t>25</t>
  </si>
  <si>
    <r>
      <t xml:space="preserve">LC-40-0005 - 3D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CAD load cell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pancake 250 kgf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(F250K)</t>
    </r>
  </si>
  <si>
    <t>26</t>
  </si>
  <si>
    <r>
      <t xml:space="preserve">LC-40-0007 - 3D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CAD load cell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donut B 20 kgf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(E20K)</t>
    </r>
  </si>
  <si>
    <t>27</t>
  </si>
  <si>
    <r>
      <t xml:space="preserve">LC-40-4502 - 3D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CAD load cell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donut A 45 kgf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(D45K)</t>
    </r>
  </si>
  <si>
    <t>28</t>
  </si>
  <si>
    <r>
      <t>SA-01-0041 - LC-40-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0006 - 3D CAD load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cell flat 150 gf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(A151)</t>
    </r>
  </si>
  <si>
    <t>29</t>
  </si>
  <si>
    <r>
      <t>SA-01-0050 - LC-40-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 xml:space="preserve">0202 - 3D CAD load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cell flat 2 kgf (C202)</t>
    </r>
  </si>
  <si>
    <t>30</t>
  </si>
  <si>
    <t>Washer ISO 7092 - 4</t>
  </si>
  <si>
    <t>31</t>
  </si>
  <si>
    <r>
      <t xml:space="preserve">ISO 7380 - M4 x 12 -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12N</t>
    </r>
  </si>
  <si>
    <t>32</t>
  </si>
  <si>
    <t>M4 x 10 Rivet</t>
  </si>
  <si>
    <t>33</t>
  </si>
  <si>
    <r>
      <t xml:space="preserve">Foam Around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Aluminum Box</t>
    </r>
  </si>
  <si>
    <t>34</t>
  </si>
  <si>
    <t>Board Mount</t>
  </si>
  <si>
    <t>35</t>
  </si>
  <si>
    <r>
      <t>Inoovatest_PCB_Fo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otprints</t>
    </r>
  </si>
  <si>
    <t>36</t>
  </si>
  <si>
    <r>
      <t xml:space="preserve">ISO 1580 - M2 x 16 -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16N</t>
    </r>
  </si>
  <si>
    <t>37</t>
  </si>
  <si>
    <t>ISO - 4035 - M2 - N</t>
  </si>
  <si>
    <t>38</t>
  </si>
  <si>
    <r>
      <t xml:space="preserve">Tapping Screw ISO 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14585 - ST2.9 x 9.5-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C-N</t>
    </r>
  </si>
  <si>
    <t>39</t>
  </si>
  <si>
    <r>
      <t>SS-52400-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012_1_ASM-0.stp</t>
    </r>
  </si>
  <si>
    <t>NOT SPECIFIED</t>
  </si>
  <si>
    <t>40</t>
  </si>
  <si>
    <r>
      <t>SS-52400-</t>
    </r>
    <r>
      <rPr>
        <sz val="13"/>
        <color indexed="8"/>
        <rFont val="SWGDT"/>
      </rPr>
      <t xml:space="preserve">
</t>
    </r>
    <r>
      <rPr>
        <sz val="13"/>
        <color indexed="8"/>
        <rFont val="Century Gothic"/>
        <family val="2"/>
      </rPr>
      <t>012_GASKET.stp</t>
    </r>
  </si>
  <si>
    <t>41</t>
  </si>
  <si>
    <t>Gasket For M12</t>
  </si>
  <si>
    <t>42</t>
  </si>
  <si>
    <t>Hinge Rod</t>
  </si>
  <si>
    <t>43</t>
  </si>
  <si>
    <t>Case Handle</t>
  </si>
  <si>
    <t>44</t>
  </si>
  <si>
    <t>Handle Rod</t>
  </si>
  <si>
    <t>45</t>
  </si>
  <si>
    <t>foam-for-top</t>
  </si>
  <si>
    <t>46</t>
  </si>
  <si>
    <t>item</t>
  </si>
  <si>
    <t>qty.</t>
  </si>
  <si>
    <t>description</t>
  </si>
  <si>
    <t>specification</t>
  </si>
  <si>
    <t>drawing no.</t>
  </si>
  <si>
    <t>rev.</t>
  </si>
  <si>
    <t>material</t>
  </si>
  <si>
    <t>Position Number</t>
  </si>
  <si>
    <t>Part Name</t>
  </si>
  <si>
    <t>Material</t>
  </si>
  <si>
    <t>Qty</t>
  </si>
  <si>
    <r>
      <t>Standard</t>
    </r>
    <r>
      <rPr>
        <b/>
        <vertAlign val="superscript"/>
        <sz val="12"/>
        <color theme="1"/>
        <rFont val="Times New Roman"/>
        <family val="1"/>
      </rPr>
      <t>[1]</t>
    </r>
  </si>
  <si>
    <t>PCB Mount</t>
  </si>
  <si>
    <t>General Purpose Polycarbonate</t>
  </si>
  <si>
    <t>ISO 21305-1:2019</t>
  </si>
  <si>
    <t>Heat resistant ABS</t>
  </si>
  <si>
    <t>ISO 2580-1 ABS</t>
  </si>
  <si>
    <t>Panel Frame</t>
  </si>
  <si>
    <t>5052 Aluminium</t>
  </si>
  <si>
    <t>ISO: Al-Mg2,5</t>
  </si>
  <si>
    <t>Load Cell Compartment</t>
  </si>
  <si>
    <t>Medium Density EVA Foam</t>
  </si>
  <si>
    <t>Make</t>
  </si>
  <si>
    <t>Aluminium Box Foam</t>
  </si>
  <si>
    <t>Electronics Basin</t>
  </si>
  <si>
    <t>Aluminium Frame</t>
  </si>
  <si>
    <t>Panel</t>
  </si>
  <si>
    <t>Cable Tray</t>
  </si>
  <si>
    <t>Top Foam</t>
  </si>
  <si>
    <t>Modify</t>
  </si>
  <si>
    <t>ISO 7380</t>
  </si>
  <si>
    <t>ST2.9 x 9.5 Tapping Screws</t>
  </si>
  <si>
    <t>ISO 14585</t>
  </si>
  <si>
    <t>M3 x 0.5 Hex Nuts</t>
  </si>
  <si>
    <t>ISO 4032</t>
  </si>
  <si>
    <t>M2 x 0.4 Hex Nuts</t>
  </si>
  <si>
    <t>ISO 4035</t>
  </si>
  <si>
    <t>M4 Washers</t>
  </si>
  <si>
    <t>ISO 7092</t>
  </si>
  <si>
    <t>M3 Washers</t>
  </si>
  <si>
    <t>Velcro Roll</t>
  </si>
  <si>
    <t>PVC Foam Tape</t>
  </si>
  <si>
    <t>3M Scotch-Weld Epoxy DP420</t>
  </si>
  <si>
    <r>
      <t>[1]</t>
    </r>
    <r>
      <rPr>
        <sz val="10"/>
        <color theme="1"/>
        <rFont val="Times New Roman"/>
        <family val="1"/>
      </rPr>
      <t xml:space="preserve"> For custom “Make” parts, the ISO standard refers to the material while for “Buy” parts it is the design of the machine element itself</t>
    </r>
  </si>
  <si>
    <t>Printed Circuit Board</t>
  </si>
  <si>
    <t>Würth Elektronik</t>
  </si>
  <si>
    <t>Binder</t>
  </si>
  <si>
    <t>Battery</t>
  </si>
  <si>
    <t>YDL</t>
  </si>
  <si>
    <t>150 gf Load Cell</t>
  </si>
  <si>
    <t>Innovatest</t>
  </si>
  <si>
    <t>2 kgf Load Cell</t>
  </si>
  <si>
    <t>20 kgf Load Cell</t>
  </si>
  <si>
    <t>45 kgf Load Cell</t>
  </si>
  <si>
    <t>250 kgf Load Cell</t>
  </si>
  <si>
    <t>3000 kgf Load Cell</t>
  </si>
  <si>
    <t>Added</t>
  </si>
  <si>
    <t>Aluminium Frame Gasket</t>
  </si>
  <si>
    <t>O-ring</t>
  </si>
  <si>
    <t>Seal for Screen Bezel</t>
  </si>
  <si>
    <t>Pelican Case</t>
  </si>
  <si>
    <t>TouchScreen/SPI Touch Controller</t>
  </si>
  <si>
    <t>EastRising</t>
  </si>
  <si>
    <t>Metzler</t>
  </si>
  <si>
    <t xml:space="preserve">M12 5-pin </t>
  </si>
  <si>
    <t>Phoenix Contact</t>
  </si>
  <si>
    <t xml:space="preserve">USB A </t>
  </si>
  <si>
    <t>Stewart Connector</t>
  </si>
  <si>
    <t xml:space="preserve">USB C </t>
  </si>
  <si>
    <t>USB A</t>
  </si>
  <si>
    <t>LED</t>
  </si>
  <si>
    <t xml:space="preserve">Bi-colour LED Light Pipe </t>
  </si>
  <si>
    <t>Bivar</t>
  </si>
  <si>
    <t>button head screws</t>
  </si>
  <si>
    <t>Verified (from SW)</t>
  </si>
  <si>
    <t>ISO 1580</t>
  </si>
  <si>
    <t>USB C Gasket</t>
  </si>
  <si>
    <t>M12 Gasket</t>
  </si>
  <si>
    <t>Verified (from Ahmad)</t>
  </si>
  <si>
    <t>00</t>
  </si>
  <si>
    <t>FR-4 and Copper</t>
  </si>
  <si>
    <t xml:space="preserve">M12 Load Cell Cable </t>
  </si>
  <si>
    <t>Push Buttons</t>
  </si>
  <si>
    <t>M3 x 0.5 x 6 Button Head Screws</t>
  </si>
  <si>
    <t>M4 x 0.7 x 12  Button Head Screws</t>
  </si>
  <si>
    <t>M3 x 0.5 x 10 Button Head Screws</t>
  </si>
  <si>
    <t>M3 x 0.5 x 8 Button Head Screws</t>
  </si>
  <si>
    <t>M2 x 0.4 x 16 Slotted Pan Head Screw</t>
  </si>
  <si>
    <t>M4 x 0.7 x 9.2 Rivet Nuts</t>
  </si>
  <si>
    <t>Polypropylene</t>
  </si>
  <si>
    <t>Silicone Rubber</t>
  </si>
  <si>
    <t>Built into bought product</t>
  </si>
  <si>
    <t>Velcro</t>
  </si>
  <si>
    <t>BT1</t>
  </si>
  <si>
    <t>Battery Terminal (XT90PW)</t>
  </si>
  <si>
    <t>AMASS</t>
  </si>
  <si>
    <t>C1, C23</t>
  </si>
  <si>
    <t>Voltage Blocking Capacitor (ECA-1HM101B)</t>
  </si>
  <si>
    <t>Panasonic</t>
  </si>
  <si>
    <t>C2, C4, C5, C6, C8, C10, C13, C15, C19, C20, C27, C33, C40</t>
  </si>
  <si>
    <r>
      <t>Decoupling Capacitor (</t>
    </r>
    <r>
      <rPr>
        <sz val="10"/>
        <color rgb="FF000000"/>
        <rFont val="Times New Roman"/>
        <family val="1"/>
      </rPr>
      <t>GRT21BR71H104KE01L</t>
    </r>
    <r>
      <rPr>
        <sz val="12"/>
        <color rgb="FF000000"/>
        <rFont val="Times New Roman"/>
        <family val="1"/>
      </rPr>
      <t>)</t>
    </r>
  </si>
  <si>
    <t>Murata</t>
  </si>
  <si>
    <t>C3</t>
  </si>
  <si>
    <r>
      <t>Filter Capacitor (</t>
    </r>
    <r>
      <rPr>
        <sz val="10"/>
        <color rgb="FF000000"/>
        <rFont val="Times New Roman"/>
        <family val="1"/>
      </rPr>
      <t>GRM21BR71C105KA01K</t>
    </r>
    <r>
      <rPr>
        <sz val="12"/>
        <color rgb="FF000000"/>
        <rFont val="Times New Roman"/>
        <family val="1"/>
      </rPr>
      <t>)</t>
    </r>
  </si>
  <si>
    <t>C7, C9, C11, C12, C24, C25, C26, C28, C34, C35, C37, C41</t>
  </si>
  <si>
    <r>
      <t>Decoupling Capacitor (</t>
    </r>
    <r>
      <rPr>
        <sz val="10"/>
        <color rgb="FF000000"/>
        <rFont val="Times New Roman"/>
        <family val="1"/>
      </rPr>
      <t>GCJ31CR71C106KA15K</t>
    </r>
    <r>
      <rPr>
        <sz val="12"/>
        <color rgb="FF000000"/>
        <rFont val="Times New Roman"/>
        <family val="1"/>
      </rPr>
      <t>)</t>
    </r>
  </si>
  <si>
    <t>C14</t>
  </si>
  <si>
    <r>
      <t>Filter Capacitor (</t>
    </r>
    <r>
      <rPr>
        <sz val="10"/>
        <color rgb="FF000000"/>
        <rFont val="Times New Roman"/>
        <family val="1"/>
      </rPr>
      <t>GCM21BR71C335KA73L</t>
    </r>
    <r>
      <rPr>
        <sz val="12"/>
        <color rgb="FF000000"/>
        <rFont val="Times New Roman"/>
        <family val="1"/>
      </rPr>
      <t>)</t>
    </r>
  </si>
  <si>
    <t>C16</t>
  </si>
  <si>
    <r>
      <t>Filter Capacitor (</t>
    </r>
    <r>
      <rPr>
        <sz val="10"/>
        <color rgb="FF000000"/>
        <rFont val="Times New Roman"/>
        <family val="1"/>
      </rPr>
      <t>GRM21BR71C475KE51L</t>
    </r>
    <r>
      <rPr>
        <sz val="12"/>
        <color rgb="FF000000"/>
        <rFont val="Times New Roman"/>
        <family val="1"/>
      </rPr>
      <t>)</t>
    </r>
  </si>
  <si>
    <t>C17</t>
  </si>
  <si>
    <r>
      <t>Filter Capacitor (</t>
    </r>
    <r>
      <rPr>
        <sz val="10"/>
        <color rgb="FF000000"/>
        <rFont val="Times New Roman"/>
        <family val="1"/>
      </rPr>
      <t>GRM21BR71C334JA01L</t>
    </r>
    <r>
      <rPr>
        <sz val="12"/>
        <color rgb="FF000000"/>
        <rFont val="Times New Roman"/>
        <family val="1"/>
      </rPr>
      <t>)</t>
    </r>
  </si>
  <si>
    <t>C18</t>
  </si>
  <si>
    <r>
      <t>Filter Capacitor (</t>
    </r>
    <r>
      <rPr>
        <sz val="10"/>
        <color rgb="FF000000"/>
        <rFont val="Times New Roman"/>
        <family val="1"/>
      </rPr>
      <t>GRM219R71C474JA01D</t>
    </r>
    <r>
      <rPr>
        <sz val="12"/>
        <color rgb="FF000000"/>
        <rFont val="Times New Roman"/>
        <family val="1"/>
      </rPr>
      <t>)</t>
    </r>
  </si>
  <si>
    <t>C21</t>
  </si>
  <si>
    <r>
      <t>Capacitor (</t>
    </r>
    <r>
      <rPr>
        <sz val="10"/>
        <color rgb="FF000000"/>
        <rFont val="Times New Roman"/>
        <family val="1"/>
      </rPr>
      <t>GCQ0335C1H100JB01D</t>
    </r>
    <r>
      <rPr>
        <sz val="12"/>
        <color rgb="FF000000"/>
        <rFont val="Times New Roman"/>
        <family val="1"/>
      </rPr>
      <t>)</t>
    </r>
  </si>
  <si>
    <t>C22</t>
  </si>
  <si>
    <r>
      <t>Capacitor (</t>
    </r>
    <r>
      <rPr>
        <sz val="10"/>
        <color rgb="FF000000"/>
        <rFont val="Times New Roman"/>
        <family val="1"/>
      </rPr>
      <t>GRJ21AR72E102KWJ1D</t>
    </r>
    <r>
      <rPr>
        <sz val="12"/>
        <color rgb="FF000000"/>
        <rFont val="Times New Roman"/>
        <family val="1"/>
      </rPr>
      <t>)</t>
    </r>
  </si>
  <si>
    <t>C29</t>
  </si>
  <si>
    <r>
      <t>Capacitor (</t>
    </r>
    <r>
      <rPr>
        <sz val="10"/>
        <color rgb="FF000000"/>
        <rFont val="Times New Roman"/>
        <family val="1"/>
      </rPr>
      <t>GRM21AR7LU332KW01D</t>
    </r>
    <r>
      <rPr>
        <sz val="12"/>
        <color rgb="FF000000"/>
        <rFont val="Times New Roman"/>
        <family val="1"/>
      </rPr>
      <t>)</t>
    </r>
  </si>
  <si>
    <t>C30, C31, C32, C36, C39</t>
  </si>
  <si>
    <r>
      <t>Capacitor (</t>
    </r>
    <r>
      <rPr>
        <sz val="10"/>
        <color rgb="FF000000"/>
        <rFont val="Times New Roman"/>
        <family val="1"/>
      </rPr>
      <t>GRM31CZ71C226ME15K</t>
    </r>
    <r>
      <rPr>
        <sz val="12"/>
        <color rgb="FF000000"/>
        <rFont val="Times New Roman"/>
        <family val="1"/>
      </rPr>
      <t>)</t>
    </r>
  </si>
  <si>
    <t>C38</t>
  </si>
  <si>
    <r>
      <t>Capacitor (</t>
    </r>
    <r>
      <rPr>
        <sz val="10"/>
        <color rgb="FF000000"/>
        <rFont val="Times New Roman"/>
        <family val="1"/>
      </rPr>
      <t>GRT21BR71C225KE01L</t>
    </r>
    <r>
      <rPr>
        <sz val="12"/>
        <color rgb="FF000000"/>
        <rFont val="Times New Roman"/>
        <family val="1"/>
      </rPr>
      <t>)</t>
    </r>
  </si>
  <si>
    <t>D1</t>
  </si>
  <si>
    <t>ESD Diode</t>
  </si>
  <si>
    <t>(SMF5V0A)</t>
  </si>
  <si>
    <t>Vishay</t>
  </si>
  <si>
    <r>
      <t>(</t>
    </r>
    <r>
      <rPr>
        <b/>
        <sz val="10"/>
        <color rgb="FF000000"/>
        <rFont val="Times New Roman"/>
        <family val="1"/>
      </rPr>
      <t>D2</t>
    </r>
    <r>
      <rPr>
        <sz val="8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in 10.3.1 Schematic)</t>
    </r>
    <r>
      <rPr>
        <b/>
        <sz val="12"/>
        <color rgb="FF000000"/>
        <rFont val="Times New Roman"/>
        <family val="1"/>
      </rPr>
      <t xml:space="preserve">  </t>
    </r>
  </si>
  <si>
    <t>(PLTR5-8MM-PR1)</t>
  </si>
  <si>
    <t>D3, D4</t>
  </si>
  <si>
    <t>Schottky Diode</t>
  </si>
  <si>
    <t>(STPS340S)</t>
  </si>
  <si>
    <t>STMicro-electronics</t>
  </si>
  <si>
    <t>IC1</t>
  </si>
  <si>
    <t>Charging Controller (MCP73223)</t>
  </si>
  <si>
    <t>Microchip</t>
  </si>
  <si>
    <t>IC2</t>
  </si>
  <si>
    <t>Voltage Reference (MAX6126)</t>
  </si>
  <si>
    <t>Maxim Integrated</t>
  </si>
  <si>
    <t>L1, L3, L4</t>
  </si>
  <si>
    <t xml:space="preserve">Inductor </t>
  </si>
  <si>
    <t>(8532R-09K)</t>
  </si>
  <si>
    <t>Delevan</t>
  </si>
  <si>
    <t>L2</t>
  </si>
  <si>
    <t>(RLB0913-2R2K)</t>
  </si>
  <si>
    <t>Bourns</t>
  </si>
  <si>
    <t>Q1, Q2, Q5</t>
  </si>
  <si>
    <t>P-Channel MOSFET</t>
  </si>
  <si>
    <t>(AO3401A)</t>
  </si>
  <si>
    <t>Alpha &amp; Omega</t>
  </si>
  <si>
    <t>Q3, Q4, Q6</t>
  </si>
  <si>
    <t>N-Channel MOSFET</t>
  </si>
  <si>
    <t>(AO3400A)</t>
  </si>
  <si>
    <t>R1, R2</t>
  </si>
  <si>
    <t>Resistor (TNPW08055K10FETA)</t>
  </si>
  <si>
    <t>R3</t>
  </si>
  <si>
    <t>Resistor (ROX050500KFKLB)</t>
  </si>
  <si>
    <t>R4</t>
  </si>
  <si>
    <t xml:space="preserve">Resistor </t>
  </si>
  <si>
    <t>(271-24.3K-AP-RC)</t>
  </si>
  <si>
    <t>Xicon</t>
  </si>
  <si>
    <t>R5</t>
  </si>
  <si>
    <t>(RSF200JR-52-200K)</t>
  </si>
  <si>
    <t>YAGEO</t>
  </si>
  <si>
    <t>R6, R9, R10</t>
  </si>
  <si>
    <t xml:space="preserve">Precision Resistor </t>
  </si>
  <si>
    <t>(ERA-3AEB103V)</t>
  </si>
  <si>
    <t>R12, R13, R15, R20, R21, R24, R25, R26, R30, R31, R34, R35</t>
  </si>
  <si>
    <t>(RSF50SJT-52-10K)</t>
  </si>
  <si>
    <t>R7</t>
  </si>
  <si>
    <t>(ERA-3AEB101V)</t>
  </si>
  <si>
    <t>R8</t>
  </si>
  <si>
    <t>(ERA-3ARB472V)</t>
  </si>
  <si>
    <t>R11</t>
  </si>
  <si>
    <t>(ERA-3AEB4991V)</t>
  </si>
  <si>
    <t>R14</t>
  </si>
  <si>
    <t>Resistor (RSPF12JT1K20)</t>
  </si>
  <si>
    <t>SEI Stackpole</t>
  </si>
  <si>
    <t>R16</t>
  </si>
  <si>
    <t>(RSF100JT-73-1K)</t>
  </si>
  <si>
    <t>R17, R22</t>
  </si>
  <si>
    <t>Resistor (RNF14BBE100K)</t>
  </si>
  <si>
    <t>R18</t>
  </si>
  <si>
    <t>(RSF100JB-73-1M)</t>
  </si>
  <si>
    <t>R19</t>
  </si>
  <si>
    <t>(MFR-25FBF52-71K5)</t>
  </si>
  <si>
    <t>R23</t>
  </si>
  <si>
    <t>Resistor (PTF6531K250BZWF)</t>
  </si>
  <si>
    <t>R27</t>
  </si>
  <si>
    <t>(MFR-25FBF52-301K)</t>
  </si>
  <si>
    <t>R28</t>
  </si>
  <si>
    <t>Resistor (PTF6540K000FZBF)</t>
  </si>
  <si>
    <t>R29</t>
  </si>
  <si>
    <t>(MFR-25FBF52-4K87)</t>
  </si>
  <si>
    <t>R32</t>
  </si>
  <si>
    <t>Resistor (MF1/4DC1742F)</t>
  </si>
  <si>
    <t>KOA Speer</t>
  </si>
  <si>
    <t>R33</t>
  </si>
  <si>
    <t>(MFR-25FRF52-127K)</t>
  </si>
  <si>
    <t>R36</t>
  </si>
  <si>
    <t>(RSF-50JT-52-20K)</t>
  </si>
  <si>
    <t>R37</t>
  </si>
  <si>
    <t>(ERA-3AEB104V)</t>
  </si>
  <si>
    <t>R</t>
  </si>
  <si>
    <t>(ERA-3AEBxxxV)</t>
  </si>
  <si>
    <t>U1</t>
  </si>
  <si>
    <t>Instrumentation Amplifier (AD8421)</t>
  </si>
  <si>
    <t>Analog Devices</t>
  </si>
  <si>
    <t>U2</t>
  </si>
  <si>
    <t xml:space="preserve"> Operational Amplifier (OPA188)</t>
  </si>
  <si>
    <t>Texas Instruments</t>
  </si>
  <si>
    <t>U3</t>
  </si>
  <si>
    <t>Delta-Sigma Analogue to Digital Converter (ADS127L21)</t>
  </si>
  <si>
    <t>U4</t>
  </si>
  <si>
    <t>Digital Potentiometer (MCP41U83)</t>
  </si>
  <si>
    <t>U5</t>
  </si>
  <si>
    <t>Optocoupler (PS9117A)</t>
  </si>
  <si>
    <t>Renesas</t>
  </si>
  <si>
    <t>U6</t>
  </si>
  <si>
    <t>10V Voltage Regulator (TPS61170)</t>
  </si>
  <si>
    <t>U7</t>
  </si>
  <si>
    <t>3.3V Voltage Regulator</t>
  </si>
  <si>
    <t>(TPS62130)</t>
  </si>
  <si>
    <t>U8</t>
  </si>
  <si>
    <t>5V Voltage Regulator</t>
  </si>
  <si>
    <t>(TPS61099)</t>
  </si>
  <si>
    <t>U9</t>
  </si>
  <si>
    <t>5.5V Voltage Regulator</t>
  </si>
  <si>
    <t>(TPS61089)</t>
  </si>
  <si>
    <t>U10</t>
  </si>
  <si>
    <t>Non-volatile Memory (W25Q128JVS)</t>
  </si>
  <si>
    <t>Winbond</t>
  </si>
  <si>
    <t>U11</t>
  </si>
  <si>
    <t xml:space="preserve">Microcontroller </t>
  </si>
  <si>
    <t>(ESP32-P4)</t>
  </si>
  <si>
    <t>Espress-if</t>
  </si>
  <si>
    <t>M12 Load Cell Cable (77 2529 0000 50705-0200)</t>
  </si>
  <si>
    <r>
      <t>1</t>
    </r>
    <r>
      <rPr>
        <sz val="8"/>
        <color theme="1"/>
        <rFont val="Times New Roman"/>
        <family val="1"/>
      </rPr>
      <t> </t>
    </r>
  </si>
  <si>
    <t>(U12 in 10.3.1 Schematic)</t>
  </si>
  <si>
    <t>(ER-TFT101-1)</t>
  </si>
  <si>
    <t>(SW1, SW2 in 10.3.1 Schematic)</t>
  </si>
  <si>
    <t>Push Buttons (P19TFRGBPOWER)</t>
  </si>
  <si>
    <t>(J1 in 10.3.1 Schematic)</t>
  </si>
  <si>
    <t>(ABQEHI)</t>
  </si>
  <si>
    <t>(J2 in 10.3.1 Schematic)</t>
  </si>
  <si>
    <t>(SS-52200-001)</t>
  </si>
  <si>
    <t>(J3 in 10.3.1 Schematic)</t>
  </si>
  <si>
    <t>(SS-52400-012)</t>
  </si>
  <si>
    <t>(YDL866898)</t>
  </si>
  <si>
    <t>(A151)</t>
  </si>
  <si>
    <t>(C202)</t>
  </si>
  <si>
    <t>(E20K)</t>
  </si>
  <si>
    <t>(D45K)</t>
  </si>
  <si>
    <t>(F250K)</t>
  </si>
  <si>
    <t>(F3000K)</t>
  </si>
  <si>
    <r>
      <t> </t>
    </r>
    <r>
      <rPr>
        <sz val="10"/>
        <color theme="1"/>
        <rFont val="Times New Roman"/>
        <family val="1"/>
      </rPr>
      <t>Shouldn’t there be 5 of these?</t>
    </r>
  </si>
  <si>
    <t>Cost per unit</t>
  </si>
  <si>
    <t xml:space="preserve">Cost </t>
  </si>
  <si>
    <t>Reference</t>
  </si>
  <si>
    <t>Part</t>
  </si>
  <si>
    <t>Brand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</si>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</sst>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3"/>
      <color indexed="8"/>
      <name val="Century Gothic"/>
      <family val="2"/>
    </font>
    <font>
      <sz val="13"/>
      <color indexed="8"/>
      <name val="SWGDT"/>
    </font>
    <font>
      <sz val="13"/>
      <color theme="1"/>
      <name val="Century Gothic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8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49" fontId="0" fillId="0" borderId="9" xfId="0" applyNumberFormat="1" applyBorder="1"/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7" fillId="2" borderId="12" xfId="0" applyFont="1" applyFill="1" applyBorder="1" applyAlignment="1">
      <alignment horizontal="justify" vertical="center" wrapText="1"/>
    </xf>
    <xf numFmtId="0" fontId="8" fillId="2" borderId="13" xfId="0" applyFont="1" applyFill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justify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10" fillId="0" borderId="0" xfId="0" applyFont="1" applyAlignment="1">
      <alignment horizontal="justify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/>
    </xf>
    <xf numFmtId="0" fontId="7" fillId="2" borderId="12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/>
    </xf>
    <xf numFmtId="0" fontId="4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6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righ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/>
    </xf>
    <xf numFmtId="0" fontId="5" fillId="0" borderId="0" xfId="0" applyFont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8" fillId="2" borderId="16" xfId="0" applyFont="1" applyFill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justify" vertical="center" wrapText="1"/>
    </xf>
    <xf numFmtId="0" fontId="5" fillId="2" borderId="16" xfId="0" applyFont="1" applyFill="1" applyBorder="1" applyAlignment="1">
      <alignment horizontal="justify" vertical="center" wrapText="1"/>
    </xf>
    <xf numFmtId="0" fontId="4" fillId="2" borderId="16" xfId="0" applyFont="1" applyFill="1" applyBorder="1" applyAlignment="1">
      <alignment horizontal="justify" vertical="center" wrapText="1"/>
    </xf>
    <xf numFmtId="0" fontId="7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/>
    </xf>
    <xf numFmtId="0" fontId="12" fillId="2" borderId="12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usernames" Target="revisions/userNames.xml"/><Relationship Id="rId5" Type="http://schemas.openxmlformats.org/officeDocument/2006/relationships/theme" Target="theme/theme1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9A574D8-2080-45FC-9106-F5ABB1BDFD39}" diskRevisions="1" revisionId="1164" version="14">
  <header guid="{59B8C1A0-3922-48B5-B29A-A6E7F0D7E921}" dateTime="2025-12-14T14:04:08" maxSheetId="2" userName="Justin" r:id="rId1">
    <sheetIdMap count="1">
      <sheetId val="1"/>
    </sheetIdMap>
  </header>
  <header guid="{12379E47-C1A1-4299-9A6E-B96FA6631005}" dateTime="2025-12-14T14:06:02" maxSheetId="3" userName="Justin" r:id="rId2" minRId="1" maxRId="23">
    <sheetIdMap count="2">
      <sheetId val="1"/>
      <sheetId val="2"/>
    </sheetIdMap>
  </header>
  <header guid="{9547317B-B9A2-47F9-A0FB-CC806670EED9}" dateTime="2025-12-14T14:52:06" maxSheetId="4" userName="Justin" r:id="rId3" minRId="24" maxRId="267">
    <sheetIdMap count="3">
      <sheetId val="1"/>
      <sheetId val="2"/>
      <sheetId val="3"/>
    </sheetIdMap>
  </header>
  <header guid="{AB1CEFE4-A7D6-4EEA-A0E8-ECE3732E31F2}" dateTime="2025-12-14T15:08:48" maxSheetId="4" userName="Justin" r:id="rId4" minRId="268" maxRId="352">
    <sheetIdMap count="3">
      <sheetId val="3"/>
      <sheetId val="2"/>
      <sheetId val="1"/>
    </sheetIdMap>
  </header>
  <header guid="{123AC70A-9155-4FEA-9CD0-81446C1406DE}" dateTime="2025-12-14T15:12:51" maxSheetId="4" userName="Justin" r:id="rId5" minRId="353" maxRId="379">
    <sheetIdMap count="3">
      <sheetId val="3"/>
      <sheetId val="2"/>
      <sheetId val="1"/>
    </sheetIdMap>
  </header>
  <header guid="{DD9384E6-9C86-4DD0-A4A0-FC0A055F49D4}" dateTime="2025-12-14T15:21:57" maxSheetId="4" userName="Justin" r:id="rId6" minRId="380" maxRId="434">
    <sheetIdMap count="3">
      <sheetId val="3"/>
      <sheetId val="2"/>
      <sheetId val="1"/>
    </sheetIdMap>
  </header>
  <header guid="{C57DB9CE-6E86-454F-AEFF-E6B84D7FF5F6}" dateTime="2025-12-14T15:31:31" maxSheetId="4" userName="Justin" r:id="rId7" minRId="435" maxRId="576">
    <sheetIdMap count="3">
      <sheetId val="3"/>
      <sheetId val="2"/>
      <sheetId val="1"/>
    </sheetIdMap>
  </header>
  <header guid="{BEDDAAB9-6231-40C7-824E-6E9081E427AA}" dateTime="2025-12-14T15:36:01" maxSheetId="4" userName="Justin" r:id="rId8" minRId="577" maxRId="637">
    <sheetIdMap count="3">
      <sheetId val="3"/>
      <sheetId val="2"/>
      <sheetId val="1"/>
    </sheetIdMap>
  </header>
  <header guid="{05FC2072-7DC4-4057-BAA1-ED9BB5DE68A5}" dateTime="2025-12-14T15:39:17" maxSheetId="4" userName="Justin" r:id="rId9" minRId="638" maxRId="787">
    <sheetIdMap count="3">
      <sheetId val="3"/>
      <sheetId val="2"/>
      <sheetId val="1"/>
    </sheetIdMap>
  </header>
  <header guid="{0B71342C-CB44-4B20-B0C2-9CD9BBD46132}" dateTime="2025-12-14T15:52:41" maxSheetId="4" userName="Justin" r:id="rId10">
    <sheetIdMap count="3">
      <sheetId val="3"/>
      <sheetId val="2"/>
      <sheetId val="1"/>
    </sheetIdMap>
  </header>
  <header guid="{E2864D10-B042-4741-AB70-E470E31416A6}" dateTime="2025-12-14T17:37:42" maxSheetId="4" userName="Ahmad" r:id="rId11" minRId="788" maxRId="822">
    <sheetIdMap count="3">
      <sheetId val="3"/>
      <sheetId val="2"/>
      <sheetId val="1"/>
    </sheetIdMap>
  </header>
  <header guid="{C859FBE9-E02E-4707-9FBB-26A4069BE959}" dateTime="2025-12-14T17:38:01" maxSheetId="4" userName="Ahmad" r:id="rId12" minRId="823" maxRId="827">
    <sheetIdMap count="3">
      <sheetId val="3"/>
      <sheetId val="2"/>
      <sheetId val="1"/>
    </sheetIdMap>
  </header>
  <header guid="{C0FB79EA-1910-40D5-9EC7-18AB8E2B6B59}" dateTime="2025-12-14T17:39:27" maxSheetId="4" userName="Ahmad" r:id="rId13" minRId="828">
    <sheetIdMap count="3">
      <sheetId val="3"/>
      <sheetId val="2"/>
      <sheetId val="1"/>
    </sheetIdMap>
  </header>
  <header guid="{7AE9FDC8-017A-4A49-8399-14B86B48A1CC}" dateTime="2026-01-11T10:56:11" maxSheetId="5" userName="Justin" r:id="rId14" minRId="829">
    <sheetIdMap count="4">
      <sheetId val="3"/>
      <sheetId val="2"/>
      <sheetId val="1"/>
      <sheetId val="4"/>
    </sheetIdMap>
  </header>
  <header guid="{79A574D8-2080-45FC-9106-F5ABB1BDFD39}" dateTime="2026-01-11T12:29:56" maxSheetId="5" userName="Justin" r:id="rId15" minRId="830" maxRId="1164">
    <sheetIdMap count="4">
      <sheetId val="3"/>
      <sheetId val="2"/>
      <sheetId val="1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" sheetId="2" name="[mech_bom.xls]BOM_template" sheetPosition="1"/>
  <rfmt sheetId="2" xfDxf="1" sqref="A1" start="0" length="0">
    <dxf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B1" start="0" length="0">
    <dxf>
      <alignment horizontal="center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C1" start="0" length="0"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D1" start="0" length="0"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E1" start="0" length="0"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F1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G1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2" xfDxf="1" sqref="A2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3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3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4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4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4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5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5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5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5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6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6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6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6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7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7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7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7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8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8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8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8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9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9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9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9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0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0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0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0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1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1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1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1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2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2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2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3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3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3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4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4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4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5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5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5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5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6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6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6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6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7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7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7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7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8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8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8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8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19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19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1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1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1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19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19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0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0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0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0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1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1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1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1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2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2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2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3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3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3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4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4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4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5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5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5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5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6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6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6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6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7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7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7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7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8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8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8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8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29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29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2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2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2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29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29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0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30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3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3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3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30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30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1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31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3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3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3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31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31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2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3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2" sId="2" xfDxf="1" dxf="1">
    <nc r="C32" t="inlineStr">
      <is>
        <t>TO FILL IN, USE RIGHT CLICK MENU / 'Edit with Arbeitsblatt'</t>
      </is>
    </nc>
    <n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2" xfDxf="1" sqref="D3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3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32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32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3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3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3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3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3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33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33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4" start="0" length="0">
    <dxf>
      <alignment horizontal="center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B3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C3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D3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E3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F34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xfDxf="1" sqref="G34" start="0" length="0">
    <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fmt sheetId="2" xfDxf="1" sqref="A35" start="0" length="0">
    <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B35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C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3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F35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G35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A36" start="0" length="0">
    <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B36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C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3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F36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G36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A37" start="0" length="0">
    <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B3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C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3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F37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G37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A38" start="0" length="0">
    <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B3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C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3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F38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G38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A39" start="0" length="0">
    <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B39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C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3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F39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G39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A40" start="0" length="0">
    <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B40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C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D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E4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F40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xfDxf="1" sqref="G40" start="0" length="0">
    <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3" sId="2" xfDxf="1" dxf="1">
    <nc r="A41">
      <v>2</v>
    </nc>
    <n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2" xfDxf="1" dxf="1">
    <nc r="B41">
      <v>3</v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xfDxf="1" dxf="1">
    <nc r="C41" t="inlineStr">
      <is>
        <t>bracket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xfDxf="1" dxf="1">
    <nc r="D41" t="inlineStr">
      <is>
        <t>flat bar 30x10 x400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xfDxf="1" dxf="1">
    <nc r="E41" t="inlineStr">
      <is>
        <t>200124-01-001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xfDxf="1" dxf="1">
    <nc r="F41" t="inlineStr">
      <is>
        <t>-00</t>
      </is>
    </nc>
    <n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xfDxf="1" dxf="1">
    <nc r="G41" t="inlineStr">
      <is>
        <t>S235JR</t>
      </is>
    </nc>
    <n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0" sId="2" xfDxf="1" dxf="1">
    <nc r="A42">
      <v>1</v>
    </nc>
    <ndxf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1" sId="2" xfDxf="1" dxf="1">
    <nc r="B42">
      <v>1</v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2" sId="2" xfDxf="1" dxf="1">
    <nc r="C42" t="inlineStr">
      <is>
        <t>hex bolt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cc rId="13" sId="2" xfDxf="1" dxf="1">
    <nc r="D42" t="inlineStr">
      <is>
        <t>ISO 4017- M10x20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ndxf>
  </rcc>
  <rfmt sheetId="2" xfDxf="1" sqref="E4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2" xfDxf="1" sqref="F42" start="0" length="0">
    <dxf>
      <numFmt numFmtId="30" formatCode="@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4" sId="2" xfDxf="1" dxf="1">
    <nc r="G42" t="inlineStr">
      <is>
        <t>10.9 galv.</t>
      </is>
    </nc>
    <ndxf>
      <numFmt numFmtId="30" formatCode="@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ndxf>
  </rcc>
  <rcc rId="15" sId="2" xfDxf="1" dxf="1">
    <nc r="A43" t="inlineStr">
      <is>
        <t>item</t>
      </is>
    </nc>
    <ndxf>
      <border outline="0">
        <left style="medium">
          <color indexed="64"/>
        </left>
        <right style="thin">
          <color indexed="64"/>
        </right>
        <bottom style="medium">
          <color indexed="64"/>
        </bottom>
      </border>
    </ndxf>
  </rcc>
  <rcc rId="16" sId="2" xfDxf="1" dxf="1">
    <nc r="B43" t="inlineStr">
      <is>
        <t>qty.</t>
      </is>
    </nc>
    <ndxf>
      <border outline="0">
        <left style="thin">
          <color indexed="64"/>
        </left>
        <right style="thin">
          <color indexed="64"/>
        </right>
        <bottom style="medium">
          <color indexed="64"/>
        </bottom>
      </border>
    </ndxf>
  </rcc>
  <rcc rId="17" sId="2" xfDxf="1" dxf="1">
    <nc r="C43" t="inlineStr">
      <is>
        <t>description</t>
      </is>
    </nc>
    <ndxf>
      <border outline="0">
        <left style="thin">
          <color indexed="64"/>
        </left>
        <right style="thin">
          <color indexed="64"/>
        </right>
        <bottom style="medium">
          <color indexed="64"/>
        </bottom>
      </border>
    </ndxf>
  </rcc>
  <rcc rId="18" sId="2" xfDxf="1" dxf="1">
    <nc r="D43" t="inlineStr">
      <is>
        <t>specification</t>
      </is>
    </nc>
    <ndxf>
      <border outline="0">
        <left style="thin">
          <color indexed="64"/>
        </left>
        <right style="thin">
          <color indexed="64"/>
        </right>
        <bottom style="medium">
          <color indexed="64"/>
        </bottom>
      </border>
    </ndxf>
  </rcc>
  <rcc rId="19" sId="2" xfDxf="1" dxf="1">
    <nc r="E43" t="inlineStr">
      <is>
        <t>drawing no.</t>
      </is>
    </nc>
    <ndxf>
      <border outline="0">
        <left style="thin">
          <color indexed="64"/>
        </left>
        <right style="thin">
          <color indexed="64"/>
        </right>
        <bottom style="medium">
          <color indexed="64"/>
        </bottom>
      </border>
    </ndxf>
  </rcc>
  <rcc rId="20" sId="2" xfDxf="1" dxf="1">
    <nc r="F43" t="inlineStr">
      <is>
        <t>rev.</t>
      </is>
    </nc>
    <ndxf>
      <border outline="0">
        <left style="thin">
          <color indexed="64"/>
        </left>
        <right style="thin">
          <color indexed="64"/>
        </right>
        <bottom style="medium">
          <color indexed="64"/>
        </bottom>
      </border>
    </ndxf>
  </rcc>
  <rcc rId="21" sId="2" xfDxf="1" dxf="1">
    <nc r="G43" t="inlineStr">
      <is>
        <t>material</t>
      </is>
    </nc>
    <ndxf>
      <border outline="0">
        <left style="thin">
          <color indexed="64"/>
        </left>
        <right style="medium">
          <color indexed="64"/>
        </right>
        <bottom style="medium">
          <color indexed="64"/>
        </bottom>
      </border>
    </ndxf>
  </rcc>
  <rcv guid="{85B28F95-3488-41DC-90A4-160F98D9658E}" action="delete"/>
  <rcv guid="{85B28F95-3488-41DC-90A4-160F98D9658E}" action="add"/>
  <rsnm rId="22" sheetId="1" oldName="[mech_bom.xls]Sheet1" newName="[mech_bom.xls]BOM_fromSW"/>
  <rsnm rId="23" sheetId="2" oldName="[mech_bom.xls]Sheet2" newName="[mech_bom.xls]BOM_template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4" sheetId="3" name="[mech_bom.xlsx]Sheet1" sheetPosition="1"/>
  <rfmt sheetId="3" sqref="E1" start="0" length="0">
    <dxf>
      <font>
        <b/>
        <sz val="12"/>
        <color theme="1"/>
        <name val="Times New Roman"/>
        <family val="1"/>
        <scheme val="none"/>
      </font>
    </dxf>
  </rfmt>
  <rfmt sheetId="3" sqref="A15" start="0" length="0">
    <dxf>
      <border outline="0">
        <left/>
        <right/>
        <bottom/>
      </border>
    </dxf>
  </rfmt>
  <rfmt sheetId="3" sqref="C15" start="0" length="0">
    <dxf>
      <border outline="0">
        <right/>
        <bottom/>
      </border>
    </dxf>
  </rfmt>
  <rfmt sheetId="3" sqref="D15" start="0" length="0">
    <dxf>
      <border outline="0">
        <right/>
        <bottom/>
      </border>
    </dxf>
  </rfmt>
  <rfmt sheetId="3" sqref="E15" start="0" length="0">
    <dxf>
      <border outline="0">
        <right/>
        <bottom/>
      </border>
    </dxf>
  </rfmt>
  <rfmt sheetId="3" sqref="A17" start="0" length="0">
    <dxf>
      <border outline="0">
        <left/>
        <right/>
        <bottom/>
      </border>
    </dxf>
  </rfmt>
  <rfmt sheetId="3" sqref="C17" start="0" length="0">
    <dxf>
      <border outline="0">
        <right/>
        <bottom/>
      </border>
    </dxf>
  </rfmt>
  <rfmt sheetId="3" sqref="D17" start="0" length="0">
    <dxf>
      <border outline="0">
        <right/>
        <bottom/>
      </border>
    </dxf>
  </rfmt>
  <rfmt sheetId="3" sqref="E17" start="0" length="0">
    <dxf>
      <border outline="0">
        <right/>
        <bottom/>
      </border>
    </dxf>
  </rfmt>
  <rfmt sheetId="3" sqref="A19" start="0" length="0">
    <dxf>
      <border outline="0">
        <left/>
        <right/>
        <bottom/>
      </border>
    </dxf>
  </rfmt>
  <rfmt sheetId="3" sqref="C19" start="0" length="0">
    <dxf>
      <border outline="0">
        <right/>
        <bottom/>
      </border>
    </dxf>
  </rfmt>
  <rfmt sheetId="3" sqref="D19" start="0" length="0">
    <dxf>
      <border outline="0">
        <right/>
        <bottom/>
      </border>
    </dxf>
  </rfmt>
  <rfmt sheetId="3" sqref="E19" start="0" length="0">
    <dxf>
      <border outline="0">
        <right/>
        <bottom/>
      </border>
    </dxf>
  </rfmt>
  <rfmt sheetId="3" sqref="A21" start="0" length="0">
    <dxf>
      <border outline="0">
        <left/>
        <right/>
        <bottom/>
      </border>
    </dxf>
  </rfmt>
  <rfmt sheetId="3" sqref="C21" start="0" length="0">
    <dxf>
      <border outline="0">
        <right/>
        <bottom/>
      </border>
    </dxf>
  </rfmt>
  <rfmt sheetId="3" sqref="D21" start="0" length="0">
    <dxf>
      <border outline="0">
        <right/>
        <bottom/>
      </border>
    </dxf>
  </rfmt>
  <rfmt sheetId="3" sqref="E21" start="0" length="0">
    <dxf>
      <border outline="0">
        <right/>
        <bottom/>
      </border>
    </dxf>
  </rfmt>
  <rfmt sheetId="3" sqref="A33" start="0" length="0">
    <dxf>
      <font>
        <vertAlign val="superscript"/>
        <sz val="10"/>
        <color theme="1"/>
        <name val="Times New Roman"/>
        <family val="1"/>
        <scheme val="none"/>
      </font>
    </dxf>
  </rfmt>
  <rcc rId="25" sId="3" xfDxf="1" dxf="1">
    <nc r="A1" t="inlineStr">
      <is>
        <t>Position Number</t>
      </is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26" sId="3" xfDxf="1" dxf="1">
    <nc r="B1" t="inlineStr">
      <is>
        <t>Part Name</t>
      </is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27" sId="3" xfDxf="1" dxf="1">
    <nc r="C1" t="inlineStr">
      <is>
        <t>Material</t>
      </is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28" sId="3" xfDxf="1" dxf="1">
    <nc r="D1" t="inlineStr">
      <is>
        <t>Qty</t>
      </is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29" sId="3" xfDxf="1" dxf="1">
    <nc r="E1" t="inlineStr">
      <is>
        <r>
          <t>Standard</t>
        </r>
        <r>
          <rPr>
            <b/>
            <vertAlign val="superscript"/>
            <sz val="12"/>
            <color theme="1"/>
            <rFont val="Times New Roman"/>
            <family val="1"/>
          </rPr>
          <t>[1]</t>
        </r>
      </is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30" sId="3" xfDxf="1" dxf="1">
    <nc r="A2">
      <v>2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31" sId="3" xfDxf="1" dxf="1">
    <nc r="B2" t="inlineStr">
      <is>
        <t>PCB Mount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32" sId="3" xfDxf="1" dxf="1">
    <nc r="C2" t="inlineStr">
      <is>
        <t>General Purpose Polycarbonate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33" sId="3" xfDxf="1" dxf="1">
    <nc r="D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34" sId="3" xfDxf="1" dxf="1">
    <nc r="E2" t="inlineStr">
      <is>
        <t>ISO 21305-1:2019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35" sId="3" xfDxf="1" dxf="1">
    <nc r="A3">
      <v>3</v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36" sId="3" xfDxf="1" dxf="1">
    <nc r="B3" t="inlineStr">
      <is>
        <t>Battery Cradle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37" sId="3" xfDxf="1" dxf="1">
    <nc r="C3" t="inlineStr">
      <is>
        <t>Heat resistant ABS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cc rId="38" sId="3" xfDxf="1" dxf="1">
    <nc r="D3">
      <v>1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39" sId="3" xfDxf="1" dxf="1">
    <nc r="E3" t="inlineStr">
      <is>
        <t>ISO 2580-1 ABS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40" sId="3" xfDxf="1" dxf="1">
    <nc r="A4">
      <v>4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41" sId="3" xfDxf="1" dxf="1">
    <nc r="B4" t="inlineStr">
      <is>
        <t>Panel Frame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42" sId="3" xfDxf="1" dxf="1">
    <nc r="C4" t="inlineStr">
      <is>
        <t>5052 Aluminium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43" sId="3" xfDxf="1" dxf="1">
    <nc r="D4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44" sId="3" xfDxf="1" dxf="1">
    <nc r="E4" t="inlineStr">
      <is>
        <t>ISO: Al-Mg2,5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45" sId="3" xfDxf="1" dxf="1">
    <nc r="A5">
      <v>5</v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46" sId="3" xfDxf="1" dxf="1">
    <nc r="B5" t="inlineStr">
      <is>
        <t>Load Cell Compartment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cc rId="47" sId="3" xfDxf="1" dxf="1">
    <nc r="C5" t="inlineStr">
      <is>
        <t>Medium Density EVA Foam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cc rId="48" sId="3" xfDxf="1" dxf="1">
    <nc r="D5">
      <v>1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49" sId="3" xfDxf="1" dxf="1">
    <nc r="E5" t="inlineStr">
      <is>
        <t>Make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0" sId="3" xfDxf="1" dxf="1">
    <nc r="A6">
      <v>6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51" sId="3" xfDxf="1" dxf="1">
    <nc r="B6" t="inlineStr">
      <is>
        <t>Aluminium Box Foam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2" sId="3" xfDxf="1" dxf="1">
    <nc r="C6" t="inlineStr">
      <is>
        <t>Medium Density EVA Foam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3" sId="3" xfDxf="1" dxf="1">
    <nc r="D6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4" sId="3" xfDxf="1" dxf="1">
    <nc r="E6" t="inlineStr">
      <is>
        <t>Make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5" sId="3" xfDxf="1" dxf="1">
    <nc r="A7">
      <v>7</v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56" sId="3" xfDxf="1" dxf="1">
    <nc r="B7" t="inlineStr">
      <is>
        <t>Electronics Basin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7" sId="3" xfDxf="1" dxf="1">
    <nc r="C7" t="inlineStr">
      <is>
        <t>5052 Aluminium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8" sId="3" xfDxf="1" dxf="1">
    <nc r="D7">
      <v>1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59" sId="3" xfDxf="1" dxf="1">
    <nc r="E7" t="inlineStr">
      <is>
        <t>ISO: Al-Mg2,5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0" sId="3" xfDxf="1" dxf="1">
    <nc r="A8">
      <v>8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61" sId="3" xfDxf="1" dxf="1">
    <nc r="B8" t="inlineStr">
      <is>
        <t>Aluminium Frame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2" sId="3" xfDxf="1" dxf="1">
    <nc r="C8" t="inlineStr">
      <is>
        <t>5052 Aluminium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3" sId="3" xfDxf="1" dxf="1">
    <nc r="D8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4" sId="3" xfDxf="1" dxf="1">
    <nc r="E8" t="inlineStr">
      <is>
        <t>ISO: Al-Mg2,5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5" sId="3" xfDxf="1" dxf="1">
    <nc r="A9">
      <v>9</v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66" sId="3" xfDxf="1" dxf="1">
    <nc r="B9" t="inlineStr">
      <is>
        <t>Panel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7" sId="3" xfDxf="1" dxf="1">
    <nc r="C9" t="inlineStr">
      <is>
        <t>5052 Aluminium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8" sId="3" xfDxf="1" dxf="1">
    <nc r="D9">
      <v>1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69" sId="3" xfDxf="1" dxf="1">
    <nc r="E9" t="inlineStr">
      <is>
        <t>ISO: Al-Mg2,5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0" sId="3" xfDxf="1" dxf="1">
    <nc r="A10">
      <v>10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71" sId="3" xfDxf="1" dxf="1">
    <nc r="B10" t="inlineStr">
      <is>
        <t>Cable Tray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2" sId="3" xfDxf="1" dxf="1">
    <nc r="C10" t="inlineStr">
      <is>
        <t>5052 Aluminium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3" sId="3" xfDxf="1" dxf="1">
    <nc r="D10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4" sId="3" xfDxf="1" dxf="1">
    <nc r="E10" t="inlineStr">
      <is>
        <t>ISO: Al-Mg2,5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5" sId="3" xfDxf="1" dxf="1">
    <nc r="A11">
      <v>11</v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76" sId="3" xfDxf="1" dxf="1">
    <nc r="B11" t="inlineStr">
      <is>
        <t>Top Foam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7" sId="3" xfDxf="1" dxf="1">
    <nc r="C11" t="inlineStr">
      <is>
        <t>Medium Density EVA Foam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D11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78" sId="3" xfDxf="1" dxf="1">
    <nc r="E11" t="inlineStr">
      <is>
        <t>Make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79" sId="3" xfDxf="1" dxf="1">
    <nc r="A12">
      <v>12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fmt sheetId="3" xfDxf="1" sqref="B12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C12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D12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80" sId="3" xfDxf="1" dxf="1">
    <nc r="E12" t="inlineStr">
      <is>
        <t>Modify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81" sId="3" xfDxf="1" dxf="1">
    <nc r="A13">
      <v>14</v>
    </nc>
    <n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2" sId="3" xfDxf="1" dxf="1">
    <nc r="B13" t="inlineStr">
      <is>
        <t>Upper Pelican Case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13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D13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E13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A14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83" sId="3" xfDxf="1" dxf="1">
    <nc r="B14" t="inlineStr">
      <is>
        <t>M4 x 0.7 x 12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 wrapText="1"/>
      <border outline="0">
        <right style="medium">
          <color rgb="FFBFBFBF"/>
        </right>
      </border>
    </ndxf>
  </rcc>
  <rfmt sheetId="3" xfDxf="1" sqref="C14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84" sId="3" xfDxf="1" dxf="1">
    <nc r="D14">
      <v>12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5" sId="3" xfDxf="1" dxf="1">
    <nc r="E14" t="inlineStr">
      <is>
        <t>ISO 7380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15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86" sId="3" xfDxf="1" dxf="1">
    <nc r="B15" t="inlineStr">
      <is>
        <t>Butten Head Screws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15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1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E1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16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87" sId="3" xfDxf="1" dxf="1">
    <nc r="B16" t="inlineStr">
      <is>
        <t>M2 x 0.4 x 16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</border>
    </ndxf>
  </rcc>
  <rfmt sheetId="3" xfDxf="1" sqref="C16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88" sId="3" xfDxf="1" dxf="1">
    <nc r="D16">
      <v>4</v>
    </nc>
    <n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9" sId="3" xfDxf="1" dxf="1">
    <nc r="E16" t="inlineStr">
      <is>
        <t>ISO 1485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17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0" sId="3" xfDxf="1" dxf="1">
    <nc r="B17" t="inlineStr">
      <is>
        <t>Butten Head Screws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17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17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E17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18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91" sId="3" xfDxf="1" dxf="1">
    <nc r="B18" t="inlineStr">
      <is>
        <t>M3 x 0.5 x 8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 wrapText="1"/>
      <border outline="0">
        <right style="medium">
          <color rgb="FFBFBFBF"/>
        </right>
      </border>
    </ndxf>
  </rcc>
  <rfmt sheetId="3" xfDxf="1" sqref="C18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92" sId="3" xfDxf="1" dxf="1">
    <nc r="D18">
      <v>12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3" sId="3" xfDxf="1" dxf="1">
    <nc r="E18" t="inlineStr">
      <is>
        <t>ISO 7380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19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4" sId="3" xfDxf="1" dxf="1">
    <nc r="B19" t="inlineStr">
      <is>
        <t>Butten Head Screws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19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1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E1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20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95" sId="3" xfDxf="1" dxf="1">
    <nc r="B20" t="inlineStr">
      <is>
        <t>M3 x 0.5 x 6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</border>
    </ndxf>
  </rcc>
  <rfmt sheetId="3" xfDxf="1" sqref="C20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96" sId="3" xfDxf="1" dxf="1">
    <nc r="D20">
      <v>2</v>
    </nc>
    <n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7" sId="3" xfDxf="1" dxf="1">
    <nc r="E20" t="inlineStr">
      <is>
        <t>ISO 7380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21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8" sId="3" xfDxf="1" dxf="1">
    <nc r="B21" t="inlineStr">
      <is>
        <t>Butten Head Screws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1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21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E21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22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9" sId="3" xfDxf="1" dxf="1">
    <nc r="B22" t="inlineStr">
      <is>
        <t>ST2.9 x 9.5 Tapping Screws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2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00" sId="3" xfDxf="1" dxf="1">
    <nc r="D22">
      <v>4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101" sId="3" xfDxf="1" dxf="1">
    <nc r="E22" t="inlineStr">
      <is>
        <t>ISO 14585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A23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2" sId="3" xfDxf="1" dxf="1">
    <nc r="B23" t="inlineStr">
      <is>
        <t>M4 x 0.7 Rivet Nuts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3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03" sId="3" xfDxf="1" dxf="1">
    <nc r="D23">
      <v>12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E23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A24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4" sId="3" xfDxf="1" dxf="1">
    <nc r="B24" t="inlineStr">
      <is>
        <t>M3 x 0.5 Hex Nuts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4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05" sId="3" xfDxf="1" dxf="1">
    <nc r="D24">
      <v>16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106" sId="3" xfDxf="1" dxf="1">
    <nc r="E24" t="inlineStr">
      <is>
        <t>ISO 4032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A25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7" sId="3" xfDxf="1" dxf="1">
    <nc r="B25" t="inlineStr">
      <is>
        <t>M2 x 0.4 Hex Nuts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5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08" sId="3" xfDxf="1" dxf="1">
    <nc r="D25">
      <v>4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109" sId="3" xfDxf="1" dxf="1">
    <nc r="E25" t="inlineStr">
      <is>
        <t>ISO 4035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A26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0" sId="3" xfDxf="1" dxf="1">
    <nc r="B26" t="inlineStr">
      <is>
        <t>M4 Washers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6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11" sId="3" xfDxf="1" dxf="1">
    <nc r="D26">
      <v>12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112" sId="3" xfDxf="1" dxf="1">
    <nc r="E26" t="inlineStr">
      <is>
        <t>ISO 7092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A27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3" sId="3" xfDxf="1" dxf="1">
    <nc r="B27" t="inlineStr">
      <is>
        <t>M3 Washers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7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D27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14" sId="3" xfDxf="1" dxf="1">
    <nc r="E27" t="inlineStr">
      <is>
        <t>ISO 7092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A28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5" sId="3" xfDxf="1" dxf="1">
    <nc r="B28" t="inlineStr">
      <is>
        <t>Velcro Roll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8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16" sId="3" xfDxf="1" dxf="1">
    <nc r="D28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E28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A29" start="0" length="0">
    <dxf>
      <font>
        <b/>
        <sz val="12"/>
        <name val="Times New Roman"/>
        <family val="1"/>
        <scheme val="none"/>
      </font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7" sId="3" xfDxf="1" dxf="1">
    <nc r="B29" t="inlineStr">
      <is>
        <t>PVC Foam Tape</t>
      </is>
    </nc>
    <ndxf>
      <font>
        <sz val="12"/>
        <name val="Times New Roman"/>
        <family val="1"/>
        <scheme val="none"/>
      </font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29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18" sId="3" xfDxf="1" dxf="1">
    <nc r="D29">
      <v>1</v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E29" start="0" length="0">
    <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A30" start="0" length="0">
    <dxf>
      <font>
        <b/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9" sId="3" xfDxf="1" dxf="1">
    <nc r="B30" t="inlineStr">
      <is>
        <t>3M Scotch-Weld Epoxy DP420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30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cc rId="120" sId="3" xfDxf="1" dxf="1">
    <nc r="D30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E30" start="0" length="0">
    <dxf>
      <font>
        <sz val="12"/>
        <name val="Times New Roman"/>
        <family val="1"/>
        <scheme val="none"/>
      </font>
      <fill>
        <patternFill patternType="solid">
          <bgColor rgb="FFF2F2F2"/>
        </patternFill>
      </fill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dxf>
  </rfmt>
  <rfmt sheetId="3" xfDxf="1" sqref="A31" start="0" length="0"/>
  <rfmt sheetId="3" xfDxf="1" sqref="B31" start="0" length="0"/>
  <rfmt sheetId="3" xfDxf="1" sqref="C31" start="0" length="0"/>
  <rfmt sheetId="3" xfDxf="1" sqref="D31" start="0" length="0"/>
  <rfmt sheetId="3" xfDxf="1" sqref="E31" start="0" length="0"/>
  <rfmt sheetId="3" xfDxf="1" sqref="A32" start="0" length="0"/>
  <rfmt sheetId="3" xfDxf="1" sqref="B32" start="0" length="0"/>
  <rfmt sheetId="3" xfDxf="1" sqref="C32" start="0" length="0"/>
  <rfmt sheetId="3" xfDxf="1" sqref="D32" start="0" length="0"/>
  <rfmt sheetId="3" xfDxf="1" sqref="E32" start="0" length="0"/>
  <rcc rId="121" sId="3" xfDxf="1" dxf="1">
    <nc r="A33" t="inlineStr">
      <is>
        <r>
          <t>[1]</t>
        </r>
        <r>
          <rPr>
            <sz val="10"/>
            <color theme="1"/>
            <rFont val="Times New Roman"/>
            <family val="1"/>
          </rPr>
          <t xml:space="preserve"> For custom “Make” parts, the ISO standard refers to the material while for “Buy” parts it is the design of the machine element itself</t>
        </r>
      </is>
    </nc>
    <ndxf>
      <font>
        <vertAlign val="superscript"/>
        <sz val="10"/>
        <name val="Times New Roman"/>
        <family val="1"/>
        <scheme val="none"/>
      </font>
      <alignment horizontal="justify" vertical="center"/>
    </ndxf>
  </rcc>
  <rfmt sheetId="3" xfDxf="1" sqref="B33" start="0" length="0"/>
  <rfmt sheetId="3" xfDxf="1" sqref="C33" start="0" length="0"/>
  <rfmt sheetId="3" xfDxf="1" sqref="D33" start="0" length="0"/>
  <rfmt sheetId="3" xfDxf="1" sqref="E33" start="0" length="0"/>
  <rfmt sheetId="3" sqref="A40" start="0" length="0">
    <dxf>
      <border outline="0">
        <left/>
        <right/>
        <bottom/>
      </border>
    </dxf>
  </rfmt>
  <rfmt sheetId="3" sqref="C40" start="0" length="0">
    <dxf>
      <border outline="0">
        <right/>
        <bottom/>
      </border>
    </dxf>
  </rfmt>
  <rfmt sheetId="3" sqref="D40" start="0" length="0">
    <dxf>
      <border outline="0">
        <right/>
        <bottom/>
      </border>
    </dxf>
  </rfmt>
  <rfmt sheetId="3" sqref="A42" start="0" length="0">
    <dxf>
      <border outline="0">
        <left/>
        <right/>
        <bottom/>
      </border>
    </dxf>
  </rfmt>
  <rfmt sheetId="3" sqref="C42" start="0" length="0">
    <dxf>
      <border outline="0">
        <right/>
        <bottom/>
      </border>
    </dxf>
  </rfmt>
  <rfmt sheetId="3" sqref="D42" start="0" length="0">
    <dxf>
      <border outline="0">
        <right/>
        <bottom/>
      </border>
    </dxf>
  </rfmt>
  <rfmt sheetId="3" sqref="A44" start="0" length="0">
    <dxf>
      <border outline="0">
        <left/>
        <right/>
        <bottom/>
      </border>
    </dxf>
  </rfmt>
  <rfmt sheetId="3" sqref="C44" start="0" length="0">
    <dxf>
      <border outline="0">
        <right/>
        <bottom/>
      </border>
    </dxf>
  </rfmt>
  <rfmt sheetId="3" sqref="D44" start="0" length="0">
    <dxf>
      <border outline="0">
        <right/>
        <bottom/>
      </border>
    </dxf>
  </rfmt>
  <rfmt sheetId="3" sqref="A46" start="0" length="0">
    <dxf>
      <border outline="0">
        <left/>
        <right/>
        <bottom/>
      </border>
    </dxf>
  </rfmt>
  <rfmt sheetId="3" sqref="C46" start="0" length="0">
    <dxf>
      <border outline="0">
        <right/>
        <bottom/>
      </border>
    </dxf>
  </rfmt>
  <rfmt sheetId="3" sqref="D46" start="0" length="0">
    <dxf>
      <border outline="0">
        <right/>
        <bottom/>
      </border>
    </dxf>
  </rfmt>
  <rfmt sheetId="3" sqref="A48" start="0" length="0">
    <dxf>
      <border outline="0">
        <left/>
        <right/>
        <bottom/>
      </border>
    </dxf>
  </rfmt>
  <rfmt sheetId="3" sqref="C48" start="0" length="0">
    <dxf>
      <border outline="0">
        <right/>
        <bottom/>
      </border>
    </dxf>
  </rfmt>
  <rfmt sheetId="3" sqref="D48" start="0" length="0">
    <dxf>
      <border outline="0">
        <right/>
        <bottom/>
      </border>
    </dxf>
  </rfmt>
  <rfmt sheetId="3" sqref="A50" start="0" length="0">
    <dxf>
      <border outline="0">
        <left/>
        <right/>
        <bottom/>
      </border>
    </dxf>
  </rfmt>
  <rfmt sheetId="3" sqref="C50" start="0" length="0">
    <dxf>
      <border outline="0">
        <right/>
        <bottom/>
      </border>
    </dxf>
  </rfmt>
  <rfmt sheetId="3" sqref="D50" start="0" length="0">
    <dxf>
      <border outline="0">
        <right/>
        <bottom/>
      </border>
    </dxf>
  </rfmt>
  <rfmt sheetId="3" sqref="A52" start="0" length="0">
    <dxf>
      <border outline="0">
        <left/>
        <right/>
        <bottom/>
      </border>
    </dxf>
  </rfmt>
  <rfmt sheetId="3" sqref="C52" start="0" length="0">
    <dxf>
      <border outline="0">
        <right/>
        <bottom/>
      </border>
    </dxf>
  </rfmt>
  <rfmt sheetId="3" sqref="D52" start="0" length="0">
    <dxf>
      <border outline="0">
        <right/>
        <bottom/>
      </border>
    </dxf>
  </rfmt>
  <rcc rId="122" sId="3" xfDxf="1" dxf="1">
    <nc r="A37">
      <v>1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123" sId="3" xfDxf="1" dxf="1">
    <nc r="B37" t="inlineStr">
      <is>
        <t>Printed Circuit Board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124" sId="3" xfDxf="1" dxf="1">
    <nc r="C37" t="inlineStr">
      <is>
        <t>Würth Elektronik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125" sId="3" xfDxf="1" dxf="1">
    <nc r="D37">
      <v>1</v>
    </nc>
    <n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126" sId="3" xfDxf="1" dxf="1">
    <nc r="A38">
      <v>13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27" sId="3" xfDxf="1" dxf="1">
    <nc r="B38" t="inlineStr">
      <is>
        <t>M12 Load Cell Cable (77 2529 0000 50705-0200)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28" sId="3" xfDxf="1" dxf="1">
    <nc r="C38" t="inlineStr">
      <is>
        <t>Binder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29" sId="3" xfDxf="1" dxf="1">
    <nc r="D38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fmt sheetId="3" xfDxf="1" sqref="A39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30" sId="3" xfDxf="1" dxf="1">
    <nc r="B39" t="inlineStr">
      <is>
        <t>Battery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31" sId="3" xfDxf="1" dxf="1">
    <nc r="C39" t="inlineStr">
      <is>
        <t>YDL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32" sId="3" xfDxf="1" dxf="1">
    <nc r="D39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40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33" sId="3" xfDxf="1" dxf="1">
    <nc r="B40" t="inlineStr">
      <is>
        <t>(YDL866898)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0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0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41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34" sId="3" xfDxf="1" dxf="1">
    <nc r="B41" t="inlineStr">
      <is>
        <t>150 gf Load Cell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35" sId="3" xfDxf="1" dxf="1">
    <nc r="C41" t="inlineStr">
      <is>
        <t>Innovatest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36" sId="3" xfDxf="1" dxf="1">
    <nc r="D41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42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37" sId="3" xfDxf="1" dxf="1">
    <nc r="B42" t="inlineStr">
      <is>
        <t>(A151)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2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2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43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38" sId="3" xfDxf="1" dxf="1">
    <nc r="B43" t="inlineStr">
      <is>
        <t>2 kgf Load Cell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39" sId="3" xfDxf="1" dxf="1">
    <nc r="C43" t="inlineStr">
      <is>
        <t>Innovatest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40" sId="3" xfDxf="1" dxf="1">
    <nc r="D43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44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41" sId="3" xfDxf="1" dxf="1">
    <nc r="B44" t="inlineStr">
      <is>
        <t>(C202)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4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4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45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42" sId="3" xfDxf="1" dxf="1">
    <nc r="B45" t="inlineStr">
      <is>
        <t>20 kgf Load Cell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43" sId="3" xfDxf="1" dxf="1">
    <nc r="C45" t="inlineStr">
      <is>
        <t>Innovatest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44" sId="3" xfDxf="1" dxf="1">
    <nc r="D45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46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45" sId="3" xfDxf="1" dxf="1">
    <nc r="B46" t="inlineStr">
      <is>
        <t>(E20K)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47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46" sId="3" xfDxf="1" dxf="1">
    <nc r="B47" t="inlineStr">
      <is>
        <t>45 kgf Load Cell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47" sId="3" xfDxf="1" dxf="1">
    <nc r="C47" t="inlineStr">
      <is>
        <t>Innovatest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48" sId="3" xfDxf="1" dxf="1">
    <nc r="D47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48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49" sId="3" xfDxf="1" dxf="1">
    <nc r="B48" t="inlineStr">
      <is>
        <t>(D45K)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8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8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49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50" sId="3" xfDxf="1" dxf="1">
    <nc r="B49" t="inlineStr">
      <is>
        <t>250 kgf Load Cell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51" sId="3" xfDxf="1" dxf="1">
    <nc r="C49" t="inlineStr">
      <is>
        <t>Innovatest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52" sId="3" xfDxf="1" dxf="1">
    <nc r="D49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50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53" sId="3" xfDxf="1" dxf="1">
    <nc r="B50" t="inlineStr">
      <is>
        <t>(F250K)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5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5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A51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dxf>
  </rfmt>
  <rcc rId="154" sId="3" xfDxf="1" dxf="1">
    <nc r="B51" t="inlineStr">
      <is>
        <t>3000 kgf Load Cell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55" sId="3" xfDxf="1" dxf="1">
    <nc r="C51" t="inlineStr">
      <is>
        <t>Innovatest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56" sId="3" xfDxf="1" dxf="1">
    <nc r="D51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3" xfDxf="1" sqref="A52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57" sId="3" xfDxf="1" dxf="1">
    <nc r="B52" t="inlineStr">
      <is>
        <t>(F3000K)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52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52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58" sId="1">
    <nc r="E1" t="inlineStr">
      <is>
        <t>Added</t>
      </is>
    </nc>
  </rcc>
  <rfmt sheetId="1" sqref="E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59" sId="1" odxf="1">
    <nc r="E22" t="b">
      <v>0</v>
    </nc>
    <odxf/>
  </rcc>
  <rcc rId="160" sId="1" odxf="1">
    <nc r="E23" t="b">
      <v>0</v>
    </nc>
    <odxf/>
  </rcc>
  <rcc rId="161" sId="1" odxf="1">
    <nc r="E24" t="b">
      <v>0</v>
    </nc>
    <odxf/>
  </rcc>
  <rcc rId="162" sId="1" odxf="1">
    <nc r="E25" t="b">
      <v>0</v>
    </nc>
    <odxf/>
  </rcc>
  <rcc rId="163" sId="1" odxf="1">
    <nc r="E26" t="b">
      <v>0</v>
    </nc>
    <odxf/>
  </rcc>
  <rcc rId="164" sId="1" odxf="1">
    <nc r="E27" t="b">
      <v>0</v>
    </nc>
    <odxf/>
  </rcc>
  <rcc rId="165" sId="1" odxf="1">
    <nc r="E28" t="b">
      <v>0</v>
    </nc>
    <odxf/>
  </rcc>
  <rcc rId="166" sId="1" odxf="1">
    <nc r="E29" t="b">
      <v>0</v>
    </nc>
    <odxf/>
  </rcc>
  <rcc rId="167" sId="1" odxf="1">
    <nc r="E30" t="b">
      <v>0</v>
    </nc>
    <odxf/>
  </rcc>
  <rcc rId="168" sId="1" odxf="1">
    <nc r="E31" t="b">
      <v>0</v>
    </nc>
    <odxf/>
  </rcc>
  <rcc rId="169" sId="1" odxf="1">
    <nc r="E32" t="b">
      <v>0</v>
    </nc>
    <odxf/>
  </rcc>
  <rcc rId="170" sId="1" odxf="1">
    <nc r="E33" t="b">
      <v>0</v>
    </nc>
    <odxf/>
  </rcc>
  <rcc rId="171" sId="1" odxf="1">
    <nc r="E34" t="b">
      <v>0</v>
    </nc>
    <odxf/>
  </rcc>
  <rcc rId="172" sId="1" odxf="1">
    <nc r="E35" t="b">
      <v>0</v>
    </nc>
    <odxf/>
  </rcc>
  <rcc rId="173" sId="1" odxf="1">
    <nc r="E36" t="b">
      <v>0</v>
    </nc>
    <odxf/>
  </rcc>
  <rcc rId="174" sId="1" odxf="1">
    <nc r="E37" t="b">
      <v>0</v>
    </nc>
    <odxf/>
  </rcc>
  <rcc rId="175" sId="1" odxf="1">
    <nc r="E38" t="b">
      <v>0</v>
    </nc>
    <odxf/>
  </rcc>
  <rcc rId="176" sId="1" odxf="1">
    <nc r="E39" t="b">
      <v>0</v>
    </nc>
    <odxf/>
  </rcc>
  <rcc rId="177" sId="1" odxf="1">
    <nc r="E40" t="b">
      <v>0</v>
    </nc>
    <odxf/>
  </rcc>
  <rcc rId="178" sId="1" odxf="1">
    <nc r="E41" t="b">
      <v>0</v>
    </nc>
    <odxf/>
  </rcc>
  <rcc rId="179" sId="1" odxf="1">
    <nc r="E42" t="b">
      <v>0</v>
    </nc>
    <odxf/>
  </rcc>
  <rcc rId="180" sId="1" odxf="1">
    <nc r="E43" t="b">
      <v>0</v>
    </nc>
    <odxf/>
  </rcc>
  <rcc rId="181" sId="1" odxf="1">
    <nc r="E44" t="b">
      <v>0</v>
    </nc>
    <odxf/>
  </rcc>
  <rcc rId="182" sId="1" odxf="1">
    <nc r="E45" t="b">
      <v>0</v>
    </nc>
    <odxf/>
  </rcc>
  <rcc rId="183" sId="1" odxf="1">
    <nc r="E46" t="b">
      <v>0</v>
    </nc>
    <odxf/>
  </rcc>
  <rcc rId="184" sId="1" odxf="1">
    <nc r="E47" t="b">
      <v>0</v>
    </nc>
    <odxf/>
  </rcc>
  <rcc rId="185" sId="1">
    <nc r="E3" t="b">
      <v>1</v>
    </nc>
  </rcc>
  <rcc rId="186" sId="1">
    <nc r="E2" t="b">
      <v>1</v>
    </nc>
  </rcc>
  <rcc rId="187" sId="1">
    <nc r="E4" t="b">
      <v>1</v>
    </nc>
  </rcc>
  <rcc rId="188" sId="1">
    <nc r="E5" t="b">
      <v>1</v>
    </nc>
  </rcc>
  <rrc rId="189" sId="3" ref="A14:XFD14" action="insertRow"/>
  <rcc rId="190" sId="3">
    <nc r="B14" t="inlineStr">
      <is>
        <t>Aluminium Frame Gasket</t>
      </is>
    </nc>
  </rcc>
  <rcc rId="191" sId="3">
    <nc r="D14">
      <v>1</v>
    </nc>
  </rcc>
  <rrc rId="192" sId="3" ref="A15:XFD15" action="insertRow"/>
  <rcc rId="193" sId="3">
    <nc r="A15">
      <v>23</v>
    </nc>
  </rcc>
  <rcc rId="194" sId="1">
    <nc r="E6" t="b">
      <v>1</v>
    </nc>
  </rcc>
  <rcc rId="195" sId="3">
    <nc r="D29">
      <v>18</v>
    </nc>
  </rcc>
  <rcc rId="196" sId="1">
    <nc r="E7" t="b">
      <v>1</v>
    </nc>
  </rcc>
  <rrc rId="197" sId="3" ref="A15:XFD15" action="deleteRow">
    <rfmt sheetId="3" xfDxf="1" sqref="A15:XFD15" start="0" length="0"/>
    <rcc rId="0" sId="3" dxf="1">
      <nc r="A15">
        <v>23</v>
      </nc>
      <n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</border>
      </ndxf>
    </rcc>
    <rfmt sheetId="3" sqref="B15" start="0" length="0">
      <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</border>
      </dxf>
    </rfmt>
    <rfmt sheetId="3" sqref="C15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</border>
      </dxf>
    </rfmt>
    <rfmt sheetId="3" sqref="D15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</border>
      </dxf>
    </rfmt>
    <rfmt sheetId="3" sqref="E15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</border>
      </dxf>
    </rfmt>
  </rrc>
  <rcc rId="198" sId="1">
    <nc r="E8" t="b">
      <v>1</v>
    </nc>
  </rcc>
  <rcc rId="199" sId="1">
    <nc r="E9" t="b">
      <v>1</v>
    </nc>
  </rcc>
  <rcc rId="200" sId="1">
    <nc r="E10" t="b">
      <v>1</v>
    </nc>
  </rcc>
  <rcc rId="201" sId="1">
    <nc r="E11" t="b">
      <v>1</v>
    </nc>
  </rcc>
  <rrc rId="202" sId="3" ref="A29:XFD29" action="insertRow"/>
  <rcc rId="203" sId="3">
    <nc r="B29" t="inlineStr">
      <is>
        <t>O-ring</t>
      </is>
    </nc>
  </rcc>
  <rcc rId="204" sId="3">
    <nc r="D29">
      <v>1</v>
    </nc>
  </rcc>
  <rcc rId="205" sId="1">
    <nc r="E12" t="b">
      <v>1</v>
    </nc>
  </rcc>
  <rcc rId="206" sId="1">
    <nc r="E13" t="b">
      <v>1</v>
    </nc>
  </rcc>
  <rrc rId="207" sId="3" ref="A30:XFD30" action="insertRow"/>
  <rcc rId="208" sId="3">
    <nc r="B30" t="inlineStr">
      <is>
        <t>Seal for Screen Bezel</t>
      </is>
    </nc>
  </rcc>
  <rcc rId="209" sId="3">
    <nc r="D30">
      <v>1</v>
    </nc>
  </rcc>
  <rcc rId="210" sId="1">
    <nc r="E14" t="b">
      <v>1</v>
    </nc>
  </rcc>
  <rcc rId="211" sId="3">
    <nc r="B12" t="inlineStr">
      <is>
        <t>Pelican Case</t>
      </is>
    </nc>
  </rcc>
  <rrc rId="212" sId="3" ref="A13:XFD13" action="deleteRow">
    <rfmt sheetId="3" xfDxf="1" sqref="A13:XFD13" start="0" length="0"/>
    <rcc rId="0" sId="3" dxf="1">
      <nc r="A13">
        <v>14</v>
      </nc>
      <n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ndxf>
    </rcc>
    <rcc rId="0" sId="3" dxf="1">
      <nc r="B13" t="inlineStr">
        <is>
          <t>Upper Pelican Case</t>
        </is>
      </nc>
      <n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1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D1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E1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</rrc>
  <rcc rId="213" sId="3">
    <nc r="A47">
      <v>18</v>
    </nc>
  </rcc>
  <rcc rId="214" sId="1">
    <nc r="E15" t="b">
      <v>1</v>
    </nc>
  </rcc>
  <rrc rId="215" sId="3" ref="A41:XFD41" action="insertRow"/>
  <rrc rId="216" sId="3" ref="A41:XFD41" action="insertRow"/>
  <rfmt sheetId="3" sqref="A41" start="0" length="0">
    <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</border>
    </dxf>
  </rfmt>
  <rfmt sheetId="3" sqref="B4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right/>
      </border>
    </dxf>
  </rfmt>
  <rfmt sheetId="3" sqref="C4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right/>
      </border>
    </dxf>
  </rfmt>
  <rfmt sheetId="3" sqref="D4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right/>
      </border>
    </dxf>
  </rfmt>
  <rfmt sheetId="3" sqref="A42" start="0" length="0">
    <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</border>
    </dxf>
  </rfmt>
  <rfmt sheetId="3" sqref="B4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right/>
      </border>
    </dxf>
  </rfmt>
  <rfmt sheetId="3" sqref="C4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right/>
      </border>
    </dxf>
  </rfmt>
  <rfmt sheetId="3" sqref="D4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right/>
      </border>
    </dxf>
  </rfmt>
  <rfmt sheetId="3" sqref="C42" start="0" length="0">
    <dxf>
      <border outline="0">
        <right/>
        <bottom/>
      </border>
    </dxf>
  </rfmt>
  <rfmt sheetId="3" sqref="D42" start="0" length="0">
    <dxf>
      <border outline="0">
        <right/>
        <bottom/>
      </border>
    </dxf>
  </rfmt>
  <rcc rId="217" sId="3" xfDxf="1" dxf="1">
    <nc r="A41">
      <v>14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18" sId="3" xfDxf="1" dxf="1">
    <nc r="B41" t="inlineStr">
      <is>
        <t>TouchScreen/SPI Touch Controller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top style="medium">
          <color rgb="FFBFBFBF"/>
        </top>
      </border>
    </ndxf>
  </rcc>
  <rcc rId="219" sId="3" xfDxf="1" dxf="1">
    <nc r="C41" t="inlineStr">
      <is>
        <t>EastRising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20" sId="3" xfDxf="1" dxf="1">
    <nc r="D41">
      <v>1</v>
    </nc>
    <n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21" sId="3" xfDxf="1" dxf="1">
    <nc r="A42" t="inlineStr">
      <is>
        <t>(U12 in 10.3.1 Schematic)</t>
      </is>
    </nc>
    <ndxf>
      <font>
        <sz val="10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222" sId="3" xfDxf="1" dxf="1">
    <nc r="B42" t="inlineStr">
      <is>
        <t>(ER-TFT101-1)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2" start="0" length="0">
    <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2" start="0" length="0">
    <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rc rId="223" sId="3" ref="A45:XFD45" action="insertRow"/>
  <rrc rId="224" sId="3" ref="A43:XFD43" action="insertRow"/>
  <rrc rId="225" sId="3" ref="A44:XFD44" action="insertRow"/>
  <rrc rId="226" sId="3" ref="A45:XFD45" action="insertRow"/>
  <rrc rId="227" sId="3" ref="A46:XFD46" action="insertRow"/>
  <rrc rId="228" sId="3" ref="A43:XFD46" action="insertRow"/>
  <rfmt sheetId="3" sqref="A43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3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3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3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44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4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4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4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45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5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5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5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46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6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6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6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47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7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7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7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48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8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8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8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49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9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49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49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A50" start="0" length="0">
    <dxf>
      <font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50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right/>
      </border>
    </dxf>
  </rfmt>
  <rfmt sheetId="3" sqref="C50" start="0" length="0">
    <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</border>
    </dxf>
  </rfmt>
  <rfmt sheetId="3" sqref="D50" start="0" length="0">
    <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</border>
    </dxf>
  </rfmt>
  <rfmt sheetId="3" sqref="B44" start="0" length="0">
    <dxf>
      <border outline="0">
        <right/>
        <bottom/>
      </border>
    </dxf>
  </rfmt>
  <rfmt sheetId="3" sqref="C44" start="0" length="0">
    <dxf>
      <border outline="0">
        <right/>
        <bottom/>
      </border>
    </dxf>
  </rfmt>
  <rfmt sheetId="3" sqref="D44" start="0" length="0">
    <dxf>
      <border outline="0">
        <right/>
        <bottom/>
      </border>
    </dxf>
  </rfmt>
  <rfmt sheetId="3" sqref="C46" start="0" length="0">
    <dxf>
      <border outline="0">
        <right/>
        <bottom/>
      </border>
    </dxf>
  </rfmt>
  <rfmt sheetId="3" sqref="D46" start="0" length="0">
    <dxf>
      <border outline="0">
        <right/>
        <bottom/>
      </border>
    </dxf>
  </rfmt>
  <rfmt sheetId="3" sqref="C48" start="0" length="0">
    <dxf>
      <border outline="0">
        <right/>
        <bottom/>
      </border>
    </dxf>
  </rfmt>
  <rfmt sheetId="3" sqref="D48" start="0" length="0">
    <dxf>
      <border outline="0">
        <right/>
        <bottom/>
      </border>
    </dxf>
  </rfmt>
  <rfmt sheetId="3" sqref="C50" start="0" length="0">
    <dxf>
      <border outline="0">
        <right/>
        <bottom/>
      </border>
    </dxf>
  </rfmt>
  <rfmt sheetId="3" sqref="D50" start="0" length="0">
    <dxf>
      <border outline="0">
        <right/>
        <bottom/>
      </border>
    </dxf>
  </rfmt>
  <rcc rId="229" sId="3" xfDxf="1" dxf="1">
    <nc r="A43">
      <v>15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30" sId="3" xfDxf="1" dxf="1">
    <nc r="B43" t="inlineStr">
      <is>
        <t>Push Buttons (P19TFRGBPOWER)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31" sId="3" xfDxf="1" dxf="1">
    <nc r="C43" t="inlineStr">
      <is>
        <t>Metzler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32" sId="3" xfDxf="1" dxf="1">
    <nc r="D43">
      <v>2</v>
    </nc>
    <n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33" sId="3" xfDxf="1" dxf="1">
    <nc r="A44" t="inlineStr">
      <is>
        <t>(SW1, SW2 in 10.3.1 Schematic)</t>
      </is>
    </nc>
    <ndxf>
      <font>
        <sz val="10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fmt sheetId="3" xfDxf="1" sqref="B44" start="0" length="0">
    <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C44" start="0" length="0">
    <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4" start="0" length="0">
    <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234" sId="3" xfDxf="1" dxf="1">
    <nc r="A45">
      <v>16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235" sId="3" xfDxf="1" dxf="1">
    <nc r="B45" t="inlineStr">
      <is>
        <t xml:space="preserve">M12 5-pin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236" sId="3" xfDxf="1" dxf="1">
    <nc r="C45" t="inlineStr">
      <is>
        <t>Phoenix Contact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37" sId="3" xfDxf="1" dxf="1">
    <nc r="D45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38" sId="3" xfDxf="1" dxf="1">
    <nc r="A46" t="inlineStr">
      <is>
        <t>(J1 in 10.3.1 Schematic)</t>
      </is>
    </nc>
    <ndxf>
      <font>
        <sz val="10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239" sId="3" xfDxf="1" dxf="1">
    <nc r="B46" t="inlineStr">
      <is>
        <t>(ABQEHI)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240" sId="3" xfDxf="1" dxf="1">
    <nc r="A47">
      <v>17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241" sId="3" xfDxf="1" dxf="1">
    <nc r="B47" t="inlineStr">
      <is>
        <t xml:space="preserve">USB A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242" sId="3" xfDxf="1" dxf="1">
    <nc r="C47" t="inlineStr">
      <is>
        <t>Stewart Connector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43" sId="3" xfDxf="1" dxf="1">
    <nc r="D47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44" sId="3" xfDxf="1" dxf="1">
    <nc r="A48" t="inlineStr">
      <is>
        <t>(J2 in 10.3.1 Schematic)</t>
      </is>
    </nc>
    <ndxf>
      <font>
        <sz val="10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245" sId="3" xfDxf="1" dxf="1">
    <nc r="B48" t="inlineStr">
      <is>
        <t>(SS-52200-001)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48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48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246" sId="3" xfDxf="1" dxf="1">
    <nc r="A49">
      <v>18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247" sId="3" xfDxf="1" dxf="1">
    <nc r="B49" t="inlineStr">
      <is>
        <t xml:space="preserve">USB C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248" sId="3" xfDxf="1" dxf="1">
    <nc r="C49" t="inlineStr">
      <is>
        <t>Stewart Connector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49" sId="3" xfDxf="1" dxf="1">
    <nc r="D49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50" sId="3" xfDxf="1" dxf="1">
    <nc r="A50" t="inlineStr">
      <is>
        <t>(J3 in 10.3.1 Schematic)</t>
      </is>
    </nc>
    <ndxf>
      <font>
        <sz val="10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251" sId="3" xfDxf="1" dxf="1">
    <nc r="B50" t="inlineStr">
      <is>
        <t>(SS-52400-012)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5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5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252" sId="1">
    <nc r="E16" t="b">
      <v>1</v>
    </nc>
  </rcc>
  <rfmt sheetId="3" sqref="B41:B44" start="0" length="2147483647">
    <dxf>
      <font>
        <b val="0"/>
      </font>
    </dxf>
  </rfmt>
  <rfmt sheetId="3" sqref="C41:C44" start="0" length="2147483647">
    <dxf>
      <font>
        <b val="0"/>
      </font>
    </dxf>
  </rfmt>
  <rcc rId="253" sId="1">
    <nc r="E17" t="b">
      <v>1</v>
    </nc>
  </rcc>
  <rcc rId="254" sId="1">
    <nc r="F17" t="inlineStr">
      <is>
        <t>USB A</t>
      </is>
    </nc>
  </rcc>
  <rcc rId="255" sId="1">
    <nc r="F18" t="inlineStr">
      <is>
        <t>LED</t>
      </is>
    </nc>
  </rcc>
  <rcc rId="256" sId="3">
    <nc r="A51">
      <v>20</v>
    </nc>
  </rcc>
  <rrc rId="257" sId="3" ref="A51:XFD52" action="insertRow"/>
  <rfmt sheetId="3" sqref="A5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</border>
    </dxf>
  </rfmt>
  <rfmt sheetId="3" sqref="B5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right/>
      </border>
    </dxf>
  </rfmt>
  <rfmt sheetId="3" sqref="C5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</border>
    </dxf>
  </rfmt>
  <rfmt sheetId="3" sqref="D5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</border>
    </dxf>
  </rfmt>
  <rfmt sheetId="3" sqref="A5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</border>
    </dxf>
  </rfmt>
  <rfmt sheetId="3" sqref="B5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right/>
      </border>
    </dxf>
  </rfmt>
  <rfmt sheetId="3" sqref="C5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</border>
    </dxf>
  </rfmt>
  <rfmt sheetId="3" sqref="D5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</border>
    </dxf>
  </rfmt>
  <rfmt sheetId="3" sqref="C52" start="0" length="0">
    <dxf>
      <border outline="0">
        <right/>
        <bottom/>
      </border>
    </dxf>
  </rfmt>
  <rfmt sheetId="3" sqref="D52" start="0" length="0">
    <dxf>
      <border outline="0">
        <right/>
        <bottom/>
      </border>
    </dxf>
  </rfmt>
  <rcc rId="258" sId="3" xfDxf="1" dxf="1">
    <nc r="A51">
      <v>19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59" sId="3" xfDxf="1" dxf="1">
    <nc r="B51" t="inlineStr">
      <is>
        <t xml:space="preserve">Bi-colour LED Light Pipe 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top style="medium">
          <color rgb="FFBFBFBF"/>
        </top>
      </border>
    </ndxf>
  </rcc>
  <rcc rId="260" sId="3" xfDxf="1" dxf="1">
    <nc r="C51" t="inlineStr">
      <is>
        <t>Bivar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61" sId="3" xfDxf="1" dxf="1">
    <nc r="D51">
      <v>1</v>
    </nc>
    <n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262" sId="3" xfDxf="1" dxf="1">
    <nc r="A52" t="inlineStr">
      <is>
        <r>
          <t>(</t>
        </r>
        <r>
          <rPr>
            <b/>
            <sz val="10"/>
            <color rgb="FF000000"/>
            <rFont val="Times New Roman"/>
            <family val="1"/>
          </rPr>
          <t>D2</t>
        </r>
        <r>
          <rPr>
            <sz val="8"/>
            <color rgb="FF000000"/>
            <rFont val="Times New Roman"/>
            <family val="1"/>
          </rPr>
          <t xml:space="preserve"> </t>
        </r>
        <r>
          <rPr>
            <sz val="10"/>
            <color rgb="FF000000"/>
            <rFont val="Times New Roman"/>
            <family val="1"/>
          </rPr>
          <t>in 10.3.1 Schematic)</t>
        </r>
        <r>
          <rPr>
            <b/>
            <sz val="12"/>
            <color rgb="FF000000"/>
            <rFont val="Times New Roman"/>
            <family val="1"/>
          </rPr>
          <t xml:space="preserve">  </t>
        </r>
      </is>
    </nc>
    <ndxf>
      <font>
        <sz val="10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263" sId="3" xfDxf="1" dxf="1">
    <nc r="B52" t="inlineStr">
      <is>
        <t>(PLTR5-8MM-PR1)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3" xfDxf="1" sqref="C52" start="0" length="0">
    <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xfDxf="1" sqref="D52" start="0" length="0">
    <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3" sqref="A51:D52" start="0" length="2147483647">
    <dxf>
      <font>
        <b val="0"/>
      </font>
    </dxf>
  </rfmt>
  <rcc rId="264" sId="1">
    <nc r="E18" t="b">
      <v>1</v>
    </nc>
  </rcc>
  <rcc rId="265" sId="1">
    <nc r="E19" t="b">
      <v>1</v>
    </nc>
  </rcc>
  <rcc rId="266" sId="1">
    <nc r="E20" t="b">
      <v>1</v>
    </nc>
  </rcc>
  <rcc rId="267" sId="1">
    <nc r="E21" t="b">
      <v>1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" sId="1">
    <oc r="E22" t="b">
      <v>0</v>
    </oc>
    <nc r="E22" t="b">
      <v>1</v>
    </nc>
  </rcc>
  <rcc rId="269" sId="1">
    <nc r="F23" t="inlineStr">
      <is>
        <t>button head screws</t>
      </is>
    </nc>
  </rcc>
  <rcc rId="270" sId="1">
    <oc r="E24" t="b">
      <v>0</v>
    </oc>
    <nc r="E24" t="b">
      <v>1</v>
    </nc>
  </rcc>
  <rfmt sheetId="3" sqref="G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justify" vertical="center" textRotation="0" wrapText="1" indent="0" justifyLastLine="0" shrinkToFit="0" readingOrder="0"/>
      <border diagonalUp="0" diagonalDown="0" outline="0">
        <left/>
        <right/>
        <top/>
        <bottom/>
      </border>
    </dxf>
  </rfmt>
  <rcc rId="271" sId="3">
    <nc r="G31" t="b">
      <v>0</v>
    </nc>
  </rcc>
  <rcc rId="272" sId="3">
    <nc r="G32" t="b">
      <v>0</v>
    </nc>
  </rcc>
  <rcc rId="273" sId="3">
    <nc r="G3" t="b">
      <v>1</v>
    </nc>
  </rcc>
  <rcc rId="274" sId="3">
    <nc r="G4" t="b">
      <v>1</v>
    </nc>
  </rcc>
  <rcc rId="275" sId="3">
    <nc r="G2" t="b">
      <v>1</v>
    </nc>
  </rcc>
  <rcc rId="276" sId="3">
    <nc r="G5" t="b">
      <v>1</v>
    </nc>
  </rcc>
  <rcc rId="277" sId="3">
    <nc r="G6" t="b">
      <v>1</v>
    </nc>
  </rcc>
  <rcc rId="278" sId="3">
    <nc r="G7" t="b">
      <v>1</v>
    </nc>
  </rcc>
  <rcc rId="279" sId="3">
    <nc r="G8" t="b">
      <v>1</v>
    </nc>
  </rcc>
  <rcc rId="280" sId="3">
    <nc r="G9" t="b">
      <v>1</v>
    </nc>
  </rcc>
  <rcc rId="281" sId="3">
    <nc r="G10" t="b">
      <v>1</v>
    </nc>
  </rcc>
  <rcc rId="282" sId="3">
    <nc r="G11" t="b">
      <v>1</v>
    </nc>
  </rcc>
  <rcc rId="283" sId="3">
    <nc r="G12" t="b">
      <v>1</v>
    </nc>
  </rcc>
  <rcc rId="284" sId="3">
    <nc r="G13" t="b">
      <v>1</v>
    </nc>
  </rcc>
  <rcc rId="285" sId="3">
    <nc r="G18" t="b">
      <v>1</v>
    </nc>
  </rcc>
  <rcc rId="286" sId="3">
    <nc r="G24" t="b">
      <v>1</v>
    </nc>
  </rcc>
  <rcc rId="287" sId="3">
    <nc r="G27" t="b">
      <v>1</v>
    </nc>
  </rcc>
  <rcc rId="288" sId="3">
    <nc r="G29" t="b">
      <v>1</v>
    </nc>
  </rcc>
  <rcc rId="289" sId="3">
    <nc r="G28" t="b">
      <v>1</v>
    </nc>
  </rcc>
  <rcc rId="290" sId="3">
    <nc r="G1" t="inlineStr">
      <is>
        <t>Verified (from SW)</t>
      </is>
    </nc>
  </rcc>
  <rcc rId="291" sId="3">
    <nc r="G20" t="b">
      <v>1</v>
    </nc>
  </rcc>
  <rcc rId="292" sId="3">
    <nc r="G30" t="b">
      <v>1</v>
    </nc>
  </rcc>
  <rrc rId="293" sId="3" ref="A18:XFD19" action="insertRow"/>
  <rfmt sheetId="3" sqref="B18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</dxf>
  </rfmt>
  <rcc rId="294" sId="3" odxf="1" dxf="1">
    <nc r="B19" t="inlineStr">
      <is>
        <t>Butten Head Screws</t>
      </is>
    </nc>
    <odxf>
      <font>
        <sz val="12"/>
        <name val="Times New Roman"/>
        <family val="1"/>
        <scheme val="none"/>
      </font>
      <fill>
        <patternFill patternType="none">
          <bgColor indexed="65"/>
        </patternFill>
      </fill>
      <border outline="0">
        <bottom/>
      </border>
    </odxf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border outline="0">
        <bottom style="medium">
          <color rgb="FFBFBFBF"/>
        </bottom>
      </border>
    </ndxf>
  </rcc>
  <rcc rId="295" sId="3">
    <nc r="B18" t="inlineStr">
      <is>
        <t>M3 x 0.5 x 10</t>
      </is>
    </nc>
  </rcc>
  <rcc rId="296" sId="3" odxf="1" dxf="1">
    <nc r="E18" t="inlineStr">
      <is>
        <t>ISO 7380</t>
      </is>
    </nc>
    <odxf>
      <font>
        <sz val="12"/>
        <name val="Times New Roman"/>
        <family val="1"/>
        <scheme val="none"/>
      </font>
      <fill>
        <patternFill patternType="none">
          <bgColor indexed="65"/>
        </patternFill>
      </fill>
      <border outline="0">
        <top/>
      </border>
    </odxf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border outline="0">
        <top style="medium">
          <color rgb="FFBFBFBF"/>
        </top>
      </border>
    </ndxf>
  </rcc>
  <rfmt sheetId="3" sqref="E1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border outline="0">
        <bottom style="medium">
          <color rgb="FFBFBFBF"/>
        </bottom>
      </border>
    </dxf>
  </rfmt>
  <rcc rId="297" sId="3">
    <nc r="D18">
      <v>4</v>
    </nc>
  </rcc>
  <rcc rId="298" sId="1">
    <oc r="E23" t="b">
      <v>0</v>
    </oc>
    <nc r="E23" t="b">
      <v>1</v>
    </nc>
  </rcc>
  <rcc rId="299" sId="1">
    <oc r="E25" t="b">
      <v>0</v>
    </oc>
    <nc r="E25" t="b">
      <v>1</v>
    </nc>
  </rcc>
  <rcc rId="300" sId="1">
    <oc r="E26" t="b">
      <v>0</v>
    </oc>
    <nc r="E26" t="b">
      <v>1</v>
    </nc>
  </rcc>
  <rcc rId="301" sId="1">
    <oc r="E27" t="b">
      <v>0</v>
    </oc>
    <nc r="E27" t="b">
      <v>1</v>
    </nc>
  </rcc>
  <rcc rId="302" sId="1">
    <oc r="E28" t="b">
      <v>0</v>
    </oc>
    <nc r="E28" t="b">
      <v>1</v>
    </nc>
  </rcc>
  <rcc rId="303" sId="1">
    <oc r="E29" t="b">
      <v>0</v>
    </oc>
    <nc r="E29" t="b">
      <v>1</v>
    </nc>
  </rcc>
  <rcc rId="304" sId="1">
    <oc r="E30" t="b">
      <v>0</v>
    </oc>
    <nc r="E30" t="b">
      <v>1</v>
    </nc>
  </rcc>
  <rcc rId="305" sId="3">
    <nc r="G28" t="b">
      <v>1</v>
    </nc>
  </rcc>
  <rcc rId="306" sId="1">
    <oc r="E31" t="b">
      <v>0</v>
    </oc>
    <nc r="E31" t="b">
      <v>1</v>
    </nc>
  </rcc>
  <rcc rId="307" sId="3">
    <nc r="G18" t="b">
      <v>1</v>
    </nc>
  </rcc>
  <rcc rId="308" sId="3">
    <nc r="G14" t="b">
      <v>1</v>
    </nc>
  </rcc>
  <rcc rId="309" sId="1">
    <oc r="E32" t="b">
      <v>0</v>
    </oc>
    <nc r="E32" t="b">
      <v>1</v>
    </nc>
  </rcc>
  <rcc rId="310" sId="3">
    <oc r="B25" t="inlineStr">
      <is>
        <t>M4 x 0.7 Rivet Nuts</t>
      </is>
    </oc>
    <nc r="B25" t="inlineStr">
      <is>
        <t>M4 x 0.7 x 10 Rivet Nuts</t>
      </is>
    </nc>
  </rcc>
  <rcc rId="311" sId="3">
    <nc r="G25" t="b">
      <v>1</v>
    </nc>
  </rcc>
  <rcc rId="312" sId="1">
    <oc r="E33" t="b">
      <v>0</v>
    </oc>
    <nc r="E33" t="b">
      <v>1</v>
    </nc>
  </rcc>
  <rcc rId="313" sId="1">
    <oc r="E34" t="b">
      <v>0</v>
    </oc>
    <nc r="E34" t="b">
      <v>1</v>
    </nc>
  </rcc>
  <rcc rId="314" sId="1">
    <oc r="E35" t="b">
      <v>0</v>
    </oc>
    <nc r="E35" t="b">
      <v>1</v>
    </nc>
  </rcc>
  <rcc rId="315" sId="1">
    <oc r="E36" t="b">
      <v>0</v>
    </oc>
    <nc r="E36" t="b">
      <v>1</v>
    </nc>
  </rcc>
  <rrc rId="316" sId="3" ref="A24:XFD24" action="insertRow"/>
  <rcc rId="317" sId="3">
    <nc r="B24" t="inlineStr">
      <is>
        <t>M2 x 16 Slotted Pan Head Screw</t>
      </is>
    </nc>
  </rcc>
  <rcc rId="318" sId="3">
    <nc r="D24">
      <v>4</v>
    </nc>
  </rcc>
  <rcc rId="319" sId="3">
    <nc r="E24" t="inlineStr">
      <is>
        <t>ISO 1580</t>
      </is>
    </nc>
  </rcc>
  <rcc rId="320" sId="3">
    <nc r="G24" t="b">
      <v>1</v>
    </nc>
  </rcc>
  <rcc rId="321" sId="1">
    <oc r="E37" t="b">
      <v>0</v>
    </oc>
    <nc r="E37" t="b">
      <v>1</v>
    </nc>
  </rcc>
  <rcc rId="322" sId="3">
    <nc r="G28" t="b">
      <v>1</v>
    </nc>
  </rcc>
  <rrc rId="323" sId="3" ref="A24:XFD24" action="insertRow"/>
  <rrc rId="324" sId="3" ref="A24:XFD24" action="insertRow"/>
  <rm rId="325" sheetId="3" source="A16:XFD17" destination="A24:XFD25" sourceSheetId="3">
    <rfmt sheetId="3" xfDxf="1" sqref="A24:XFD24" start="0" length="0"/>
    <rfmt sheetId="3" xfDxf="1" sqref="A25:XFD25" start="0" length="0"/>
    <rfmt sheetId="3" sqref="A24" start="0" length="0">
      <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B24" start="0" length="0">
      <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24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D24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E24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A25" start="0" length="0">
      <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B25" start="0" length="0">
      <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25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D25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E25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</rm>
  <rrc rId="326" sId="3" ref="A16:XFD16" action="deleteRow">
    <rfmt sheetId="3" xfDxf="1" sqref="A16:XFD16" start="0" length="0"/>
  </rrc>
  <rrc rId="327" sId="3" ref="A16:XFD16" action="deleteRow">
    <rfmt sheetId="3" xfDxf="1" sqref="A16:XFD16" start="0" length="0"/>
  </rrc>
  <rcc rId="328" sId="1">
    <oc r="E38" t="b">
      <v>0</v>
    </oc>
    <nc r="E38" t="b">
      <v>1</v>
    </nc>
  </rcc>
  <rcc rId="329" sId="1">
    <oc r="E39" t="b">
      <v>0</v>
    </oc>
    <nc r="E39" t="b">
      <v>1</v>
    </nc>
  </rcc>
  <rcc rId="330" sId="3">
    <nc r="G25" t="b">
      <v>1</v>
    </nc>
  </rcc>
  <rcc rId="331" sId="1">
    <oc r="E45" t="b">
      <v>0</v>
    </oc>
    <nc r="E45" t="b">
      <v>1</v>
    </nc>
  </rcc>
  <rcc rId="332" sId="1">
    <oc r="E43" t="b">
      <v>0</v>
    </oc>
    <nc r="E43" t="b">
      <v>1</v>
    </nc>
  </rcc>
  <rcc rId="333" sId="1">
    <oc r="E44" t="b">
      <v>0</v>
    </oc>
    <nc r="E44" t="b">
      <v>1</v>
    </nc>
  </rcc>
  <rcc rId="334" sId="1">
    <oc r="E46" t="b">
      <v>0</v>
    </oc>
    <nc r="E46" t="b">
      <v>1</v>
    </nc>
  </rcc>
  <rcc rId="335" sId="1">
    <oc r="E40" t="b">
      <v>0</v>
    </oc>
    <nc r="E40" t="b">
      <v>1</v>
    </nc>
  </rcc>
  <rrc rId="336" sId="3" ref="A33:XFD33" action="insertRow"/>
  <rcc rId="337" sId="3">
    <nc r="G33" t="b">
      <v>0</v>
    </nc>
  </rcc>
  <rrc rId="338" sId="3" ref="A34:XFD34" action="insertRow"/>
  <rm rId="339" sheetId="3" source="A13:XFD13" destination="A33:XFD33" sourceSheetId="3">
    <rfmt sheetId="3" xfDxf="1" sqref="A33:XFD33" start="0" length="0"/>
    <rfmt sheetId="3" sqref="A33" start="0" length="0">
      <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B3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3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D3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E33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cc rId="0" sId="3">
      <nc r="G33" t="b">
        <v>0</v>
      </nc>
    </rcc>
  </rm>
  <rrc rId="340" sId="3" ref="A35:XFD35" action="insertRow"/>
  <rcc rId="341" sId="3">
    <nc r="D34">
      <v>1</v>
    </nc>
  </rcc>
  <rcc rId="342" sId="3">
    <nc r="D35">
      <v>1</v>
    </nc>
  </rcc>
  <rcc rId="343" sId="3">
    <nc r="B34" t="inlineStr">
      <is>
        <t>USB C Gasket</t>
      </is>
    </nc>
  </rcc>
  <rcc rId="344" sId="3">
    <nc r="B35" t="inlineStr">
      <is>
        <t>M12 Gasket</t>
      </is>
    </nc>
  </rcc>
  <rcc rId="345" sId="3">
    <nc r="G34" t="b">
      <v>1</v>
    </nc>
  </rcc>
  <rcc rId="346" sId="3">
    <nc r="G35" t="b">
      <v>1</v>
    </nc>
  </rcc>
  <rcc rId="347" sId="1">
    <oc r="E42" t="b">
      <v>0</v>
    </oc>
    <nc r="E42" t="b">
      <v>1</v>
    </nc>
  </rcc>
  <rcc rId="348" sId="1">
    <oc r="E41" t="b">
      <v>0</v>
    </oc>
    <nc r="E41" t="b">
      <v>1</v>
    </nc>
  </rcc>
  <rcc rId="349" sId="1">
    <oc r="E47" t="b">
      <v>0</v>
    </oc>
    <nc r="E47" t="b">
      <v>1</v>
    </nc>
  </rcc>
  <rcc rId="350" sId="3">
    <nc r="G22" t="b">
      <v>0</v>
    </nc>
  </rcc>
  <rrc rId="351" sId="3" ref="A22:XFD22" action="deleteRow">
    <rfmt sheetId="3" xfDxf="1" sqref="A22:XFD22" start="0" length="0"/>
    <rfmt sheetId="3" sqref="A22" start="0" length="0">
      <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top style="medium">
            <color rgb="FFBFBFBF"/>
          </top>
        </border>
      </dxf>
    </rfmt>
    <rcc rId="0" sId="3" dxf="1">
      <nc r="B22" t="inlineStr">
        <is>
          <t>M2 x 0.4 x 16</t>
        </is>
      </nc>
      <n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</border>
      </ndxf>
    </rcc>
    <rfmt sheetId="3" sqref="C22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top style="medium">
            <color rgb="FFBFBFBF"/>
          </top>
        </border>
      </dxf>
    </rfmt>
    <rcc rId="0" sId="3" dxf="1">
      <nc r="D22">
        <v>4</v>
      </nc>
      <n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top style="medium">
            <color rgb="FFBFBFBF"/>
          </top>
        </border>
      </ndxf>
    </rcc>
    <rcc rId="0" sId="3" dxf="1">
      <nc r="E22" t="inlineStr">
        <is>
          <t>ISO 1485</t>
        </is>
      </nc>
      <n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top style="medium">
            <color rgb="FFBFBFBF"/>
          </top>
        </border>
      </ndxf>
    </rcc>
    <rcc rId="0" sId="3">
      <nc r="G22" t="b">
        <v>0</v>
      </nc>
    </rcc>
  </rrc>
  <rrc rId="352" sId="3" ref="A22:XFD22" action="deleteRow">
    <rfmt sheetId="3" xfDxf="1" sqref="A22:XFD22" start="0" length="0"/>
    <rfmt sheetId="3" sqref="A22" start="0" length="0">
      <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22" t="inlineStr">
        <is>
          <t>Butten Head Screws</t>
        </is>
      </nc>
      <n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22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22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E22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cv guid="{85B28F95-3488-41DC-90A4-160F98D9658E}" action="delete"/>
  <rcv guid="{85B28F95-3488-41DC-90A4-160F98D9658E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3" sId="3" ref="A59:XFD59" action="deleteRow">
    <rfmt sheetId="3" xfDxf="1" sqref="A59:XFD59" start="0" length="0"/>
    <rfmt sheetId="3" sqref="A59" start="0" length="0">
      <dxf>
        <font>
          <b/>
          <sz val="12"/>
          <color theme="1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</border>
      </dxf>
    </rfmt>
    <rfmt sheetId="3" sqref="B59" start="0" length="0">
      <dxf>
        <font>
          <sz val="12"/>
          <color theme="1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</border>
      </dxf>
    </rfmt>
    <rfmt sheetId="3" sqref="C59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</border>
      </dxf>
    </rfmt>
    <rfmt sheetId="3" sqref="D59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</border>
      </dxf>
    </rfmt>
  </rrc>
  <rcc rId="354" sId="3">
    <nc r="A59">
      <v>21</v>
    </nc>
  </rcc>
  <rcc rId="355" sId="3">
    <nc r="A61">
      <v>22</v>
    </nc>
  </rcc>
  <rcc rId="356" sId="3">
    <nc r="A63">
      <v>23</v>
    </nc>
  </rcc>
  <rfmt sheetId="3" sqref="A64" start="0" length="0">
    <dxf>
      <font>
        <sz val="12"/>
        <color rgb="FF000000"/>
        <name val="Times New Roman"/>
        <family val="1"/>
        <scheme val="none"/>
      </font>
      <fill>
        <patternFill patternType="none">
          <bgColor indexed="65"/>
        </patternFill>
      </fill>
      <border outline="0">
        <top style="medium">
          <color rgb="FFBFBFBF"/>
        </top>
        <bottom/>
      </border>
    </dxf>
  </rfmt>
  <rfmt sheetId="3" sqref="A65" start="0" length="0">
    <dxf>
      <border outline="0">
        <top/>
        <bottom style="medium">
          <color rgb="FFBFBFBF"/>
        </bottom>
      </border>
    </dxf>
  </rfmt>
  <rfmt sheetId="3" sqref="A6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border outline="0">
        <top style="medium">
          <color rgb="FFBFBFBF"/>
        </top>
        <bottom/>
      </border>
    </dxf>
  </rfmt>
  <rfmt sheetId="3" sqref="A67" start="0" length="0">
    <dxf>
      <font>
        <sz val="12"/>
        <color rgb="FF000000"/>
        <name val="Times New Roman"/>
        <family val="1"/>
        <scheme val="none"/>
      </font>
      <fill>
        <patternFill patternType="none">
          <bgColor indexed="65"/>
        </patternFill>
      </fill>
    </dxf>
  </rfmt>
  <rfmt sheetId="3" sqref="A68" start="0" length="0">
    <dxf>
      <font>
        <sz val="12"/>
        <color rgb="FF000000"/>
        <name val="Times New Roman"/>
        <family val="1"/>
        <scheme val="none"/>
      </font>
      <fill>
        <patternFill patternType="none">
          <bgColor indexed="65"/>
        </patternFill>
      </fill>
    </dxf>
  </rfmt>
  <rfmt sheetId="3" sqref="A6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</dxf>
  </rfmt>
  <rcc rId="357" sId="3">
    <nc r="A65">
      <v>24</v>
    </nc>
  </rcc>
  <rcc rId="358" sId="3">
    <nc r="A67">
      <v>25</v>
    </nc>
  </rcc>
  <rcc rId="359" sId="3">
    <nc r="A69">
      <v>26</v>
    </nc>
  </rcc>
  <rrc rId="360" sId="3" ref="A13:XFD13" action="deleteRow">
    <rfmt sheetId="3" xfDxf="1" sqref="A13:XFD13" start="0" length="0"/>
  </rrc>
  <rcc rId="361" sId="3">
    <nc r="A13">
      <v>13</v>
    </nc>
  </rcc>
  <rcc rId="362" sId="3">
    <nc r="A15">
      <v>28</v>
    </nc>
  </rcc>
  <rcc rId="363" sId="3">
    <nc r="A17">
      <v>29</v>
    </nc>
  </rcc>
  <rcc rId="364" sId="3">
    <nc r="A19">
      <v>30</v>
    </nc>
  </rcc>
  <rcc rId="365" sId="3">
    <nc r="A21">
      <v>31</v>
    </nc>
  </rcc>
  <rcc rId="366" sId="3">
    <nc r="A22">
      <v>32</v>
    </nc>
  </rcc>
  <rcc rId="367" sId="3">
    <nc r="A23">
      <v>33</v>
    </nc>
  </rcc>
  <rcc rId="368" sId="3">
    <nc r="A24">
      <v>34</v>
    </nc>
  </rcc>
  <rcc rId="369" sId="3">
    <nc r="A25">
      <v>35</v>
    </nc>
  </rcc>
  <rcc rId="370" sId="3">
    <nc r="A26">
      <v>36</v>
    </nc>
  </rcc>
  <rcc rId="371" sId="3">
    <nc r="A27">
      <v>37</v>
    </nc>
  </rcc>
  <rcc rId="372" sId="3">
    <nc r="A28">
      <v>38</v>
    </nc>
  </rcc>
  <rcc rId="373" sId="3">
    <nc r="A29">
      <v>39</v>
    </nc>
  </rcc>
  <rcc rId="374" sId="3">
    <nc r="A30">
      <v>40</v>
    </nc>
  </rcc>
  <rcc rId="375" sId="3">
    <nc r="A31">
      <v>41</v>
    </nc>
  </rcc>
  <rcc rId="376" sId="3" odxf="1" dxf="1">
    <nc r="A32">
      <v>42</v>
    </nc>
    <odxf>
      <border outline="0">
        <bottom style="medium">
          <color rgb="FFBFBFBF"/>
        </bottom>
      </border>
    </odxf>
    <ndxf>
      <border outline="0">
        <bottom/>
      </border>
    </ndxf>
  </rcc>
  <rcc rId="377" sId="3" odxf="1" dxf="1">
    <nc r="A33">
      <v>43</v>
    </nc>
    <odxf>
      <fill>
        <patternFill patternType="solid">
          <bgColor rgb="FFF2F2F2"/>
        </patternFill>
      </fill>
    </odxf>
    <ndxf>
      <fill>
        <patternFill patternType="none">
          <bgColor indexed="65"/>
        </patternFill>
      </fill>
    </ndxf>
  </rcc>
  <rcc rId="378" sId="3" odxf="1" dxf="1">
    <nc r="A34">
      <v>44</v>
    </nc>
    <odxf>
      <border outline="0">
        <bottom style="medium">
          <color rgb="FFBFBFBF"/>
        </bottom>
      </border>
    </odxf>
    <ndxf>
      <border outline="0">
        <bottom/>
      </border>
    </ndxf>
  </rcc>
  <rcc rId="379" sId="3" odxf="1" dxf="1">
    <nc r="A35">
      <v>45</v>
    </nc>
    <odxf>
      <fill>
        <patternFill patternType="solid">
          <bgColor rgb="FFF2F2F2"/>
        </patternFill>
      </fill>
    </odxf>
    <ndxf>
      <fill>
        <patternFill patternType="none">
          <bgColor indexed="65"/>
        </patternFill>
      </fill>
    </ndxf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0" sId="3">
    <oc r="A13">
      <v>13</v>
    </oc>
    <nc r="A13">
      <v>28</v>
    </nc>
  </rcc>
  <rcc rId="381" sId="3">
    <nc r="A16">
      <v>29</v>
    </nc>
  </rcc>
  <rcc rId="382" sId="3">
    <oc r="A15">
      <v>28</v>
    </oc>
    <nc r="A15"/>
  </rcc>
  <rcc rId="383" sId="3">
    <oc r="A17">
      <v>29</v>
    </oc>
    <nc r="A17">
      <v>30</v>
    </nc>
  </rcc>
  <rcc rId="384" sId="3">
    <oc r="A19">
      <v>30</v>
    </oc>
    <nc r="A19">
      <v>31</v>
    </nc>
  </rcc>
  <rcc rId="385" sId="3">
    <oc r="A21">
      <v>31</v>
    </oc>
    <nc r="A21">
      <v>32</v>
    </nc>
  </rcc>
  <rcc rId="386" sId="3">
    <oc r="A22">
      <v>32</v>
    </oc>
    <nc r="A22">
      <v>33</v>
    </nc>
  </rcc>
  <rfmt sheetId="3" sqref="A22" start="0" length="2147483647">
    <dxf>
      <font>
        <b/>
      </font>
    </dxf>
  </rfmt>
  <rcc rId="387" sId="3">
    <oc r="A23">
      <v>33</v>
    </oc>
    <nc r="A23">
      <v>34</v>
    </nc>
  </rcc>
  <rcc rId="388" sId="3">
    <oc r="A24">
      <v>34</v>
    </oc>
    <nc r="A24">
      <v>35</v>
    </nc>
  </rcc>
  <rcc rId="389" sId="3">
    <oc r="A25">
      <v>35</v>
    </oc>
    <nc r="A25">
      <v>36</v>
    </nc>
  </rcc>
  <rcc rId="390" sId="3">
    <oc r="A26">
      <v>36</v>
    </oc>
    <nc r="A26">
      <v>37</v>
    </nc>
  </rcc>
  <rcc rId="391" sId="3">
    <oc r="A27">
      <v>37</v>
    </oc>
    <nc r="A27">
      <v>38</v>
    </nc>
  </rcc>
  <rcc rId="392" sId="3" odxf="1" dxf="1">
    <oc r="A28">
      <v>38</v>
    </oc>
    <nc r="A28">
      <v>39</v>
    </nc>
    <odxf>
      <fill>
        <patternFill patternType="none">
          <bgColor indexed="65"/>
        </patternFill>
      </fill>
    </odxf>
    <ndxf>
      <fill>
        <patternFill patternType="solid">
          <bgColor rgb="FFF2F2F2"/>
        </patternFill>
      </fill>
    </ndxf>
  </rcc>
  <rcc rId="393" sId="3">
    <oc r="A29">
      <v>39</v>
    </oc>
    <nc r="A29">
      <v>40</v>
    </nc>
  </rcc>
  <rcc rId="394" sId="3" odxf="1" dxf="1">
    <oc r="A30">
      <v>40</v>
    </oc>
    <nc r="A30">
      <v>41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2F2F2"/>
        </patternFill>
      </fill>
      <border outline="0">
        <bottom style="medium">
          <color rgb="FFBFBFBF"/>
        </bottom>
      </border>
    </ndxf>
  </rcc>
  <rcc rId="395" sId="3">
    <oc r="A31">
      <v>41</v>
    </oc>
    <nc r="A31">
      <v>42</v>
    </nc>
  </rcc>
  <rcc rId="396" sId="3" odxf="1" dxf="1">
    <oc r="A32">
      <v>42</v>
    </oc>
    <nc r="A32">
      <v>43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2F2F2"/>
        </patternFill>
      </fill>
      <border outline="0">
        <bottom style="medium">
          <color rgb="FFBFBFBF"/>
        </bottom>
      </border>
    </ndxf>
  </rcc>
  <rcc rId="397" sId="3">
    <oc r="A33">
      <v>43</v>
    </oc>
    <nc r="A33">
      <v>44</v>
    </nc>
  </rcc>
  <rcc rId="398" sId="3" odxf="1" dxf="1">
    <oc r="A34">
      <v>44</v>
    </oc>
    <nc r="A34">
      <v>45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2F2F2"/>
        </patternFill>
      </fill>
      <border outline="0">
        <bottom style="medium">
          <color rgb="FFBFBFBF"/>
        </bottom>
      </border>
    </ndxf>
  </rcc>
  <rcc rId="399" sId="3">
    <oc r="A35">
      <v>45</v>
    </oc>
    <nc r="A35">
      <v>46</v>
    </nc>
  </rcc>
  <rfmt sheetId="3" sqref="H1" start="0" length="0">
    <dxf>
      <font>
        <b/>
        <sz val="12"/>
        <color theme="1"/>
        <name val="Times New Roman"/>
        <family val="1"/>
        <scheme val="none"/>
      </font>
      <alignment horizontal="justify" vertical="center" wrapText="1"/>
    </dxf>
  </rfmt>
  <rcc rId="400" sId="3">
    <nc r="H1" t="inlineStr">
      <is>
        <t>Verified (from Ahmad)</t>
      </is>
    </nc>
  </rcc>
  <rcc rId="401" sId="3">
    <nc r="H2" t="b">
      <v>0</v>
    </nc>
  </rcc>
  <rcc rId="402" sId="3">
    <nc r="H3" t="b">
      <v>0</v>
    </nc>
  </rcc>
  <rcc rId="403" sId="3">
    <nc r="H4" t="b">
      <v>0</v>
    </nc>
  </rcc>
  <rcc rId="404" sId="3">
    <nc r="H5" t="b">
      <v>0</v>
    </nc>
  </rcc>
  <rcc rId="405" sId="3">
    <nc r="H6" t="b">
      <v>0</v>
    </nc>
  </rcc>
  <rcc rId="406" sId="3">
    <nc r="H7" t="b">
      <v>0</v>
    </nc>
  </rcc>
  <rcc rId="407" sId="3">
    <nc r="H8" t="b">
      <v>0</v>
    </nc>
  </rcc>
  <rcc rId="408" sId="3">
    <nc r="H9" t="b">
      <v>0</v>
    </nc>
  </rcc>
  <rcc rId="409" sId="3">
    <nc r="H10" t="b">
      <v>0</v>
    </nc>
  </rcc>
  <rcc rId="410" sId="3">
    <nc r="H11" t="b">
      <v>0</v>
    </nc>
  </rcc>
  <rcc rId="411" sId="3">
    <nc r="H12" t="b">
      <v>0</v>
    </nc>
  </rcc>
  <rcc rId="412" sId="3">
    <nc r="H13" t="b">
      <v>0</v>
    </nc>
  </rcc>
  <rcc rId="413" sId="3">
    <nc r="H14" t="b">
      <v>0</v>
    </nc>
  </rcc>
  <rcc rId="414" sId="3">
    <nc r="H15" t="b">
      <v>0</v>
    </nc>
  </rcc>
  <rcc rId="415" sId="3">
    <nc r="H16" t="b">
      <v>0</v>
    </nc>
  </rcc>
  <rcc rId="416" sId="3">
    <nc r="H17" t="b">
      <v>0</v>
    </nc>
  </rcc>
  <rcc rId="417" sId="3">
    <nc r="H18" t="b">
      <v>0</v>
    </nc>
  </rcc>
  <rcc rId="418" sId="3">
    <nc r="H19" t="b">
      <v>0</v>
    </nc>
  </rcc>
  <rcc rId="419" sId="3">
    <nc r="H20" t="b">
      <v>0</v>
    </nc>
  </rcc>
  <rcc rId="420" sId="3">
    <nc r="H21" t="b">
      <v>0</v>
    </nc>
  </rcc>
  <rcc rId="421" sId="3">
    <nc r="H22" t="b">
      <v>0</v>
    </nc>
  </rcc>
  <rcc rId="422" sId="3">
    <nc r="H23" t="b">
      <v>0</v>
    </nc>
  </rcc>
  <rcc rId="423" sId="3">
    <nc r="H24" t="b">
      <v>0</v>
    </nc>
  </rcc>
  <rcc rId="424" sId="3">
    <nc r="H25" t="b">
      <v>0</v>
    </nc>
  </rcc>
  <rcc rId="425" sId="3">
    <nc r="H26" t="b">
      <v>0</v>
    </nc>
  </rcc>
  <rcc rId="426" sId="3">
    <nc r="H27" t="b">
      <v>0</v>
    </nc>
  </rcc>
  <rcc rId="427" sId="3">
    <nc r="H28" t="b">
      <v>0</v>
    </nc>
  </rcc>
  <rcc rId="428" sId="3">
    <nc r="H29" t="b">
      <v>0</v>
    </nc>
  </rcc>
  <rcc rId="429" sId="3">
    <nc r="H30" t="b">
      <v>0</v>
    </nc>
  </rcc>
  <rcc rId="430" sId="3">
    <nc r="H31" t="b">
      <v>0</v>
    </nc>
  </rcc>
  <rcc rId="431" sId="3">
    <nc r="H32" t="b">
      <v>0</v>
    </nc>
  </rcc>
  <rcc rId="432" sId="3">
    <nc r="H33" t="b">
      <v>0</v>
    </nc>
  </rcc>
  <rcc rId="433" sId="3">
    <nc r="H34" t="b">
      <v>0</v>
    </nc>
  </rcc>
  <rcc rId="434" sId="3">
    <nc r="H35" t="b">
      <v>0</v>
    </nc>
  </rcc>
  <rcv guid="{85B28F95-3488-41DC-90A4-160F98D9658E}" action="delete"/>
  <rcv guid="{85B28F95-3488-41DC-90A4-160F98D9658E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5" sId="2">
    <oc r="C32" t="inlineStr">
      <is>
        <t>TO FILL IN, USE RIGHT CLICK MENU / 'Edit with Arbeitsblatt'</t>
      </is>
    </oc>
    <nc r="C32"/>
  </rcc>
  <rrc rId="436" sId="2" ref="A40:XFD40" action="insertRow"/>
  <rrc rId="437" sId="2" ref="A40:XFD40" action="insertRow"/>
  <rrc rId="438" sId="2" ref="A40:XFD40" action="insertRow"/>
  <rrc rId="439" sId="2" ref="A43:XFD43" action="insertRow"/>
  <rrc rId="440" sId="2" ref="A43:XFD43" action="insertRow"/>
  <rcc rId="441" sId="2">
    <oc r="A46">
      <v>2</v>
    </oc>
    <nc r="A46"/>
  </rcc>
  <rcc rId="442" sId="2">
    <oc r="B46">
      <v>3</v>
    </oc>
    <nc r="B46"/>
  </rcc>
  <rcc rId="443" sId="2">
    <oc r="C46" t="inlineStr">
      <is>
        <t>bracket</t>
      </is>
    </oc>
    <nc r="C46"/>
  </rcc>
  <rcc rId="444" sId="2">
    <oc r="D46" t="inlineStr">
      <is>
        <t>flat bar 30x10 x400</t>
      </is>
    </oc>
    <nc r="D46"/>
  </rcc>
  <rcc rId="445" sId="2">
    <oc r="E46" t="inlineStr">
      <is>
        <t>200124-01-001</t>
      </is>
    </oc>
    <nc r="E46"/>
  </rcc>
  <rcc rId="446" sId="2">
    <oc r="F46" t="inlineStr">
      <is>
        <t>-00</t>
      </is>
    </oc>
    <nc r="F46"/>
  </rcc>
  <rcc rId="447" sId="2">
    <oc r="G46" t="inlineStr">
      <is>
        <t>S235JR</t>
      </is>
    </oc>
    <nc r="G46"/>
  </rcc>
  <rcc rId="448" sId="2">
    <oc r="A47">
      <v>1</v>
    </oc>
    <nc r="A47"/>
  </rcc>
  <rcc rId="449" sId="2">
    <oc r="B47">
      <v>1</v>
    </oc>
    <nc r="B47"/>
  </rcc>
  <rcc rId="450" sId="2">
    <oc r="C47" t="inlineStr">
      <is>
        <t>hex bolt</t>
      </is>
    </oc>
    <nc r="C47"/>
  </rcc>
  <rcc rId="451" sId="2">
    <oc r="D47" t="inlineStr">
      <is>
        <t>ISO 4017- M10x20</t>
      </is>
    </oc>
    <nc r="D47"/>
  </rcc>
  <rcc rId="452" sId="2">
    <oc r="G47" t="inlineStr">
      <is>
        <t>10.9 galv.</t>
      </is>
    </oc>
    <nc r="G47"/>
  </rcc>
  <rrc rId="453" sId="2" ref="A46:XFD46" action="deleteRow">
    <rfmt sheetId="2" xfDxf="1" sqref="A46:XFD46" start="0" length="0"/>
    <rfmt sheetId="2" sqref="A46" start="0" length="0">
      <dxf>
        <alignment horizontal="center" vertical="top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B46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6" start="0" length="0">
      <dxf>
        <numFmt numFmtId="30" formatCode="@"/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46" start="0" length="0">
      <dxf>
        <numFmt numFmtId="30" formatCode="@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454" sId="2">
    <nc r="F1" t="inlineStr">
      <is>
        <t>00</t>
      </is>
    </nc>
  </rcc>
  <rfmt sheetId="2" sqref="F2" start="0" length="0">
    <dxf>
      <border outline="0">
        <top style="medium">
          <color indexed="64"/>
        </top>
      </border>
    </dxf>
  </rfmt>
  <rfmt sheetId="2" sqref="F3" start="0" length="0">
    <dxf>
      <border outline="0">
        <top style="medium">
          <color indexed="64"/>
        </top>
      </border>
    </dxf>
  </rfmt>
  <rfmt sheetId="2" sqref="F4" start="0" length="0">
    <dxf>
      <border outline="0">
        <top style="medium">
          <color indexed="64"/>
        </top>
      </border>
    </dxf>
  </rfmt>
  <rfmt sheetId="2" sqref="F5" start="0" length="0">
    <dxf>
      <border outline="0">
        <top style="medium">
          <color indexed="64"/>
        </top>
      </border>
    </dxf>
  </rfmt>
  <rfmt sheetId="2" sqref="F6" start="0" length="0">
    <dxf>
      <border outline="0">
        <top style="medium">
          <color indexed="64"/>
        </top>
      </border>
    </dxf>
  </rfmt>
  <rfmt sheetId="2" sqref="F7" start="0" length="0">
    <dxf>
      <border outline="0">
        <top style="medium">
          <color indexed="64"/>
        </top>
      </border>
    </dxf>
  </rfmt>
  <rfmt sheetId="2" sqref="F8" start="0" length="0">
    <dxf>
      <border outline="0">
        <top style="medium">
          <color indexed="64"/>
        </top>
      </border>
    </dxf>
  </rfmt>
  <rfmt sheetId="2" sqref="F9" start="0" length="0">
    <dxf>
      <border outline="0">
        <top style="medium">
          <color indexed="64"/>
        </top>
      </border>
    </dxf>
  </rfmt>
  <rfmt sheetId="2" sqref="F10" start="0" length="0">
    <dxf>
      <border outline="0">
        <top style="medium">
          <color indexed="64"/>
        </top>
      </border>
    </dxf>
  </rfmt>
  <rfmt sheetId="2" sqref="F11" start="0" length="0">
    <dxf>
      <border outline="0">
        <top style="medium">
          <color indexed="64"/>
        </top>
      </border>
    </dxf>
  </rfmt>
  <rfmt sheetId="2" sqref="F12" start="0" length="0">
    <dxf>
      <border outline="0">
        <top style="medium">
          <color indexed="64"/>
        </top>
      </border>
    </dxf>
  </rfmt>
  <rfmt sheetId="2" sqref="F13" start="0" length="0">
    <dxf>
      <border outline="0">
        <top style="medium">
          <color indexed="64"/>
        </top>
      </border>
    </dxf>
  </rfmt>
  <rfmt sheetId="2" sqref="F14" start="0" length="0">
    <dxf>
      <border outline="0">
        <top style="medium">
          <color indexed="64"/>
        </top>
      </border>
    </dxf>
  </rfmt>
  <rfmt sheetId="2" sqref="F15" start="0" length="0">
    <dxf>
      <border outline="0">
        <top style="medium">
          <color indexed="64"/>
        </top>
      </border>
    </dxf>
  </rfmt>
  <rfmt sheetId="2" sqref="F16" start="0" length="0">
    <dxf>
      <border outline="0">
        <top style="medium">
          <color indexed="64"/>
        </top>
      </border>
    </dxf>
  </rfmt>
  <rfmt sheetId="2" sqref="F17" start="0" length="0">
    <dxf>
      <border outline="0">
        <top style="medium">
          <color indexed="64"/>
        </top>
      </border>
    </dxf>
  </rfmt>
  <rfmt sheetId="2" sqref="F18" start="0" length="0">
    <dxf>
      <border outline="0">
        <top style="medium">
          <color indexed="64"/>
        </top>
      </border>
    </dxf>
  </rfmt>
  <rfmt sheetId="2" sqref="F19" start="0" length="0">
    <dxf>
      <border outline="0">
        <top style="medium">
          <color indexed="64"/>
        </top>
      </border>
    </dxf>
  </rfmt>
  <rfmt sheetId="2" sqref="F20" start="0" length="0">
    <dxf>
      <border outline="0">
        <top style="medium">
          <color indexed="64"/>
        </top>
      </border>
    </dxf>
  </rfmt>
  <rfmt sheetId="2" sqref="F21" start="0" length="0">
    <dxf>
      <border outline="0">
        <top style="medium">
          <color indexed="64"/>
        </top>
      </border>
    </dxf>
  </rfmt>
  <rfmt sheetId="2" sqref="F22" start="0" length="0">
    <dxf>
      <border outline="0">
        <top style="medium">
          <color indexed="64"/>
        </top>
      </border>
    </dxf>
  </rfmt>
  <rfmt sheetId="2" sqref="F23" start="0" length="0">
    <dxf>
      <border outline="0">
        <top style="medium">
          <color indexed="64"/>
        </top>
      </border>
    </dxf>
  </rfmt>
  <rfmt sheetId="2" sqref="F24" start="0" length="0">
    <dxf>
      <border outline="0">
        <top style="medium">
          <color indexed="64"/>
        </top>
      </border>
    </dxf>
  </rfmt>
  <rfmt sheetId="2" sqref="F25" start="0" length="0">
    <dxf>
      <border outline="0">
        <top style="medium">
          <color indexed="64"/>
        </top>
      </border>
    </dxf>
  </rfmt>
  <rfmt sheetId="2" sqref="F26" start="0" length="0">
    <dxf>
      <border outline="0">
        <top style="medium">
          <color indexed="64"/>
        </top>
      </border>
    </dxf>
  </rfmt>
  <rfmt sheetId="2" sqref="F27" start="0" length="0">
    <dxf>
      <border outline="0">
        <top style="medium">
          <color indexed="64"/>
        </top>
      </border>
    </dxf>
  </rfmt>
  <rfmt sheetId="2" sqref="F28" start="0" length="0">
    <dxf>
      <border outline="0">
        <top style="medium">
          <color indexed="64"/>
        </top>
      </border>
    </dxf>
  </rfmt>
  <rfmt sheetId="2" sqref="F29" start="0" length="0">
    <dxf>
      <border outline="0">
        <top style="medium">
          <color indexed="64"/>
        </top>
      </border>
    </dxf>
  </rfmt>
  <rfmt sheetId="2" sqref="F30" start="0" length="0">
    <dxf>
      <border outline="0">
        <top style="medium">
          <color indexed="64"/>
        </top>
      </border>
    </dxf>
  </rfmt>
  <rfmt sheetId="2" sqref="F31" start="0" length="0">
    <dxf>
      <border outline="0">
        <top style="medium">
          <color indexed="64"/>
        </top>
      </border>
    </dxf>
  </rfmt>
  <rfmt sheetId="2" sqref="F32" start="0" length="0">
    <dxf>
      <border outline="0">
        <top style="medium">
          <color indexed="64"/>
        </top>
      </border>
    </dxf>
  </rfmt>
  <rfmt sheetId="2" sqref="F33" start="0" length="0">
    <dxf>
      <border outline="0">
        <top style="medium">
          <color indexed="64"/>
        </top>
      </border>
    </dxf>
  </rfmt>
  <rfmt sheetId="2" sqref="F34" start="0" length="0">
    <dxf>
      <border outline="0">
        <top style="medium">
          <color indexed="64"/>
        </top>
      </border>
    </dxf>
  </rfmt>
  <rfmt sheetId="2" sqref="F35" start="0" length="0">
    <dxf>
      <border outline="0">
        <top style="medium">
          <color indexed="64"/>
        </top>
      </border>
    </dxf>
  </rfmt>
  <rfmt sheetId="2" sqref="F36" start="0" length="0">
    <dxf>
      <border outline="0">
        <top style="medium">
          <color indexed="64"/>
        </top>
      </border>
    </dxf>
  </rfmt>
  <rfmt sheetId="2" sqref="F37" start="0" length="0">
    <dxf>
      <border outline="0">
        <top style="medium">
          <color indexed="64"/>
        </top>
      </border>
    </dxf>
  </rfmt>
  <rfmt sheetId="2" sqref="F38" start="0" length="0">
    <dxf>
      <border outline="0">
        <top style="medium">
          <color indexed="64"/>
        </top>
      </border>
    </dxf>
  </rfmt>
  <rfmt sheetId="2" sqref="F39" start="0" length="0">
    <dxf>
      <border outline="0">
        <top style="medium">
          <color indexed="64"/>
        </top>
      </border>
    </dxf>
  </rfmt>
  <rfmt sheetId="2" sqref="F40" start="0" length="0">
    <dxf>
      <border outline="0">
        <top style="medium">
          <color indexed="64"/>
        </top>
      </border>
    </dxf>
  </rfmt>
  <rfmt sheetId="2" sqref="F41" start="0" length="0">
    <dxf>
      <border outline="0">
        <top style="medium">
          <color indexed="64"/>
        </top>
      </border>
    </dxf>
  </rfmt>
  <rfmt sheetId="2" sqref="F42" start="0" length="0">
    <dxf>
      <border outline="0">
        <top style="medium">
          <color indexed="64"/>
        </top>
      </border>
    </dxf>
  </rfmt>
  <rfmt sheetId="2" sqref="F43" start="0" length="0">
    <dxf>
      <border outline="0">
        <top style="medium">
          <color indexed="64"/>
        </top>
      </border>
    </dxf>
  </rfmt>
  <rfmt sheetId="2" sqref="F44" start="0" length="0">
    <dxf>
      <border outline="0">
        <top style="medium">
          <color indexed="64"/>
        </top>
      </border>
    </dxf>
  </rfmt>
  <rfmt sheetId="2" sqref="F45" start="0" length="0">
    <dxf>
      <border outline="0">
        <top style="medium">
          <color indexed="64"/>
        </top>
      </border>
    </dxf>
  </rfmt>
  <rfmt sheetId="2" sqref="F46" start="0" length="0">
    <dxf>
      <border outline="0">
        <top style="medium">
          <color indexed="64"/>
        </top>
        <bottom style="thin">
          <color indexed="64"/>
        </bottom>
      </border>
    </dxf>
  </rfmt>
  <rcc rId="455" sId="2">
    <nc r="F2" t="inlineStr">
      <is>
        <t>00</t>
      </is>
    </nc>
  </rcc>
  <rcc rId="456" sId="2">
    <nc r="F3" t="inlineStr">
      <is>
        <t>00</t>
      </is>
    </nc>
  </rcc>
  <rcc rId="457" sId="2">
    <nc r="F4" t="inlineStr">
      <is>
        <t>00</t>
      </is>
    </nc>
  </rcc>
  <rcc rId="458" sId="2">
    <nc r="F5" t="inlineStr">
      <is>
        <t>00</t>
      </is>
    </nc>
  </rcc>
  <rcc rId="459" sId="2">
    <nc r="F6" t="inlineStr">
      <is>
        <t>00</t>
      </is>
    </nc>
  </rcc>
  <rcc rId="460" sId="2">
    <nc r="F7" t="inlineStr">
      <is>
        <t>00</t>
      </is>
    </nc>
  </rcc>
  <rcc rId="461" sId="2">
    <nc r="F8" t="inlineStr">
      <is>
        <t>00</t>
      </is>
    </nc>
  </rcc>
  <rcc rId="462" sId="2">
    <nc r="F9" t="inlineStr">
      <is>
        <t>00</t>
      </is>
    </nc>
  </rcc>
  <rcc rId="463" sId="2">
    <nc r="F10" t="inlineStr">
      <is>
        <t>00</t>
      </is>
    </nc>
  </rcc>
  <rcc rId="464" sId="2">
    <nc r="F11" t="inlineStr">
      <is>
        <t>00</t>
      </is>
    </nc>
  </rcc>
  <rcc rId="465" sId="2">
    <nc r="F12" t="inlineStr">
      <is>
        <t>00</t>
      </is>
    </nc>
  </rcc>
  <rcc rId="466" sId="2">
    <nc r="F13" t="inlineStr">
      <is>
        <t>00</t>
      </is>
    </nc>
  </rcc>
  <rcc rId="467" sId="2">
    <nc r="F14" t="inlineStr">
      <is>
        <t>00</t>
      </is>
    </nc>
  </rcc>
  <rcc rId="468" sId="2">
    <nc r="F15" t="inlineStr">
      <is>
        <t>00</t>
      </is>
    </nc>
  </rcc>
  <rcc rId="469" sId="2">
    <nc r="F16" t="inlineStr">
      <is>
        <t>00</t>
      </is>
    </nc>
  </rcc>
  <rcc rId="470" sId="2">
    <nc r="F17" t="inlineStr">
      <is>
        <t>00</t>
      </is>
    </nc>
  </rcc>
  <rcc rId="471" sId="2">
    <nc r="F18" t="inlineStr">
      <is>
        <t>00</t>
      </is>
    </nc>
  </rcc>
  <rcc rId="472" sId="2">
    <nc r="F19" t="inlineStr">
      <is>
        <t>00</t>
      </is>
    </nc>
  </rcc>
  <rcc rId="473" sId="2">
    <nc r="F20" t="inlineStr">
      <is>
        <t>00</t>
      </is>
    </nc>
  </rcc>
  <rcc rId="474" sId="2">
    <nc r="F21" t="inlineStr">
      <is>
        <t>00</t>
      </is>
    </nc>
  </rcc>
  <rcc rId="475" sId="2">
    <nc r="F22" t="inlineStr">
      <is>
        <t>00</t>
      </is>
    </nc>
  </rcc>
  <rcc rId="476" sId="2">
    <nc r="F23" t="inlineStr">
      <is>
        <t>00</t>
      </is>
    </nc>
  </rcc>
  <rcc rId="477" sId="2">
    <nc r="F24" t="inlineStr">
      <is>
        <t>00</t>
      </is>
    </nc>
  </rcc>
  <rcc rId="478" sId="2">
    <nc r="F25" t="inlineStr">
      <is>
        <t>00</t>
      </is>
    </nc>
  </rcc>
  <rcc rId="479" sId="2">
    <nc r="F26" t="inlineStr">
      <is>
        <t>00</t>
      </is>
    </nc>
  </rcc>
  <rcc rId="480" sId="2">
    <nc r="F27" t="inlineStr">
      <is>
        <t>00</t>
      </is>
    </nc>
  </rcc>
  <rcc rId="481" sId="2">
    <nc r="F28" t="inlineStr">
      <is>
        <t>00</t>
      </is>
    </nc>
  </rcc>
  <rcc rId="482" sId="2">
    <nc r="F29" t="inlineStr">
      <is>
        <t>00</t>
      </is>
    </nc>
  </rcc>
  <rcc rId="483" sId="2">
    <nc r="F30" t="inlineStr">
      <is>
        <t>00</t>
      </is>
    </nc>
  </rcc>
  <rcc rId="484" sId="2">
    <nc r="F31" t="inlineStr">
      <is>
        <t>00</t>
      </is>
    </nc>
  </rcc>
  <rcc rId="485" sId="2">
    <nc r="F32" t="inlineStr">
      <is>
        <t>00</t>
      </is>
    </nc>
  </rcc>
  <rcc rId="486" sId="2">
    <nc r="F33" t="inlineStr">
      <is>
        <t>00</t>
      </is>
    </nc>
  </rcc>
  <rcc rId="487" sId="2">
    <nc r="F34" t="inlineStr">
      <is>
        <t>00</t>
      </is>
    </nc>
  </rcc>
  <rcc rId="488" sId="2">
    <nc r="F35" t="inlineStr">
      <is>
        <t>00</t>
      </is>
    </nc>
  </rcc>
  <rcc rId="489" sId="2">
    <nc r="F36" t="inlineStr">
      <is>
        <t>00</t>
      </is>
    </nc>
  </rcc>
  <rcc rId="490" sId="2">
    <nc r="F37" t="inlineStr">
      <is>
        <t>00</t>
      </is>
    </nc>
  </rcc>
  <rcc rId="491" sId="2">
    <nc r="F38" t="inlineStr">
      <is>
        <t>00</t>
      </is>
    </nc>
  </rcc>
  <rcc rId="492" sId="2">
    <nc r="F39" t="inlineStr">
      <is>
        <t>00</t>
      </is>
    </nc>
  </rcc>
  <rcc rId="493" sId="2">
    <nc r="F40" t="inlineStr">
      <is>
        <t>00</t>
      </is>
    </nc>
  </rcc>
  <rcc rId="494" sId="2">
    <nc r="F41" t="inlineStr">
      <is>
        <t>00</t>
      </is>
    </nc>
  </rcc>
  <rcc rId="495" sId="2">
    <nc r="F42" t="inlineStr">
      <is>
        <t>00</t>
      </is>
    </nc>
  </rcc>
  <rcc rId="496" sId="2">
    <nc r="F43" t="inlineStr">
      <is>
        <t>00</t>
      </is>
    </nc>
  </rcc>
  <rcc rId="497" sId="2">
    <nc r="F44" t="inlineStr">
      <is>
        <t>00</t>
      </is>
    </nc>
  </rcc>
  <rcc rId="498" sId="2">
    <nc r="F45" t="inlineStr">
      <is>
        <t>00</t>
      </is>
    </nc>
  </rcc>
  <rcc rId="499" sId="2">
    <nc r="F46" t="inlineStr">
      <is>
        <t>00</t>
      </is>
    </nc>
  </rcc>
  <rcc rId="500" sId="2">
    <nc r="A2">
      <f>BOM_word!A2</f>
    </nc>
  </rcc>
  <rcc rId="501" sId="2">
    <nc r="A3">
      <f>BOM_word!A3</f>
    </nc>
  </rcc>
  <rcc rId="502" sId="2">
    <nc r="A4">
      <f>BOM_word!A4</f>
    </nc>
  </rcc>
  <rcc rId="503" sId="2">
    <nc r="A5">
      <f>BOM_word!A5</f>
    </nc>
  </rcc>
  <rcc rId="504" sId="2">
    <nc r="A6">
      <f>BOM_word!A6</f>
    </nc>
  </rcc>
  <rcc rId="505" sId="2">
    <nc r="A7">
      <f>BOM_word!A7</f>
    </nc>
  </rcc>
  <rcc rId="506" sId="2">
    <nc r="A8">
      <f>BOM_word!A8</f>
    </nc>
  </rcc>
  <rcc rId="507" sId="2">
    <nc r="A9">
      <f>BOM_word!A9</f>
    </nc>
  </rcc>
  <rcc rId="508" sId="2">
    <nc r="A10">
      <f>BOM_word!A10</f>
    </nc>
  </rcc>
  <rcc rId="509" sId="2">
    <nc r="A11">
      <f>BOM_word!A11</f>
    </nc>
  </rcc>
  <rcc rId="510" sId="2">
    <nc r="A12">
      <f>BOM_word!A12</f>
    </nc>
  </rcc>
  <rcc rId="511" sId="2">
    <nc r="C2">
      <f>BOM_word!B2</f>
    </nc>
  </rcc>
  <rcc rId="512" sId="2">
    <nc r="C3">
      <f>BOM_word!B3</f>
    </nc>
  </rcc>
  <rcc rId="513" sId="2">
    <nc r="C4">
      <f>BOM_word!B4</f>
    </nc>
  </rcc>
  <rcc rId="514" sId="2">
    <nc r="C5">
      <f>BOM_word!B5</f>
    </nc>
  </rcc>
  <rcc rId="515" sId="2">
    <nc r="C6">
      <f>BOM_word!B6</f>
    </nc>
  </rcc>
  <rcc rId="516" sId="2">
    <nc r="C7">
      <f>BOM_word!B7</f>
    </nc>
  </rcc>
  <rcc rId="517" sId="2">
    <nc r="C8">
      <f>BOM_word!B8</f>
    </nc>
  </rcc>
  <rcc rId="518" sId="2">
    <nc r="C9">
      <f>BOM_word!B9</f>
    </nc>
  </rcc>
  <rcc rId="519" sId="2">
    <nc r="C10">
      <f>BOM_word!B10</f>
    </nc>
  </rcc>
  <rcc rId="520" sId="2">
    <nc r="C11">
      <f>BOM_word!B11</f>
    </nc>
  </rcc>
  <rcc rId="521" sId="2">
    <nc r="C12">
      <f>BOM_word!B12</f>
    </nc>
  </rcc>
  <rcc rId="522" sId="2">
    <nc r="B2">
      <f>BOM_word!D2</f>
    </nc>
  </rcc>
  <rcc rId="523" sId="2">
    <nc r="B3">
      <f>BOM_word!D3</f>
    </nc>
  </rcc>
  <rcc rId="524" sId="2">
    <nc r="B4">
      <f>BOM_word!D4</f>
    </nc>
  </rcc>
  <rcc rId="525" sId="2">
    <nc r="B5">
      <f>BOM_word!D5</f>
    </nc>
  </rcc>
  <rcc rId="526" sId="2">
    <nc r="B6">
      <f>BOM_word!D6</f>
    </nc>
  </rcc>
  <rcc rId="527" sId="2">
    <nc r="B7">
      <f>BOM_word!D7</f>
    </nc>
  </rcc>
  <rcc rId="528" sId="2">
    <nc r="B8">
      <f>BOM_word!D8</f>
    </nc>
  </rcc>
  <rcc rId="529" sId="2">
    <nc r="B9">
      <f>BOM_word!D9</f>
    </nc>
  </rcc>
  <rcc rId="530" sId="2">
    <nc r="B10">
      <f>BOM_word!D10</f>
    </nc>
  </rcc>
  <rcc rId="531" sId="2">
    <nc r="B11">
      <f>BOM_word!D11</f>
    </nc>
  </rcc>
  <rcc rId="532" sId="2">
    <nc r="B12">
      <f>BOM_word!D12</f>
    </nc>
  </rcc>
  <rcc rId="533" sId="3">
    <nc r="D11">
      <v>1</v>
    </nc>
  </rcc>
  <rcc rId="534" sId="3">
    <nc r="D12">
      <v>1</v>
    </nc>
  </rcc>
  <rcc rId="535" sId="2">
    <nc r="D2">
      <f>BOM_word!E2</f>
    </nc>
  </rcc>
  <rcc rId="536" sId="2">
    <nc r="D3">
      <f>BOM_word!E3</f>
    </nc>
  </rcc>
  <rcc rId="537" sId="2">
    <nc r="D4">
      <f>BOM_word!E4</f>
    </nc>
  </rcc>
  <rcc rId="538" sId="2">
    <nc r="D5">
      <f>BOM_word!E5</f>
    </nc>
  </rcc>
  <rcc rId="539" sId="2">
    <nc r="D6">
      <f>BOM_word!E6</f>
    </nc>
  </rcc>
  <rcc rId="540" sId="2">
    <nc r="D7">
      <f>BOM_word!E7</f>
    </nc>
  </rcc>
  <rcc rId="541" sId="2">
    <nc r="D8">
      <f>BOM_word!E8</f>
    </nc>
  </rcc>
  <rcc rId="542" sId="2">
    <nc r="D9">
      <f>BOM_word!E9</f>
    </nc>
  </rcc>
  <rcc rId="543" sId="2">
    <nc r="D10">
      <f>BOM_word!E10</f>
    </nc>
  </rcc>
  <rcc rId="544" sId="2">
    <nc r="D11">
      <f>BOM_word!E11</f>
    </nc>
  </rcc>
  <rcc rId="545" sId="2">
    <nc r="D12">
      <f>BOM_word!E12</f>
    </nc>
  </rcc>
  <rfmt sheetId="3" sqref="C2">
    <dxf>
      <alignment horizontal="left"/>
    </dxf>
  </rfmt>
  <rcc rId="546" sId="2">
    <nc r="H2">
      <f>BOM_word!C2</f>
    </nc>
  </rcc>
  <rm rId="547" sheetId="2" source="H2" destination="G2" sourceSheetId="2">
    <rfmt sheetId="2" sqref="G2" start="0" length="0">
      <dxf>
        <numFmt numFmtId="30" formatCode="@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dxf>
    </rfmt>
  </rm>
  <rcc rId="548" sId="2" odxf="1" dxf="1">
    <nc r="G3">
      <f>BOM_word!C3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49" sId="2" odxf="1" dxf="1">
    <nc r="G4">
      <f>BOM_word!C4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0" sId="2" odxf="1" dxf="1">
    <nc r="G5">
      <f>BOM_word!C5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1" sId="2" odxf="1" dxf="1">
    <nc r="G6">
      <f>BOM_word!C6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2" sId="2" odxf="1" dxf="1">
    <nc r="G7">
      <f>BOM_word!C7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3" sId="2" odxf="1" dxf="1">
    <nc r="G8">
      <f>BOM_word!C8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4" sId="2" odxf="1" dxf="1">
    <nc r="G9">
      <f>BOM_word!C9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5" sId="2" odxf="1" dxf="1">
    <nc r="G10">
      <f>BOM_word!C10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6" sId="2" odxf="1" dxf="1">
    <nc r="G11">
      <f>BOM_word!C11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7" sId="2" odxf="1" dxf="1">
    <nc r="G12">
      <f>BOM_word!C12</f>
    </nc>
    <o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odxf>
    <ndxf>
      <numFmt numFmtId="0" formatCode="General"/>
      <border outline="0">
        <left/>
        <right/>
        <bottom/>
      </border>
    </ndxf>
  </rcc>
  <rcc rId="558" sId="3">
    <oc r="A13">
      <v>28</v>
    </oc>
    <nc r="A13">
      <v>27</v>
    </nc>
  </rcc>
  <rcc rId="559" sId="3">
    <oc r="A16">
      <v>29</v>
    </oc>
    <nc r="A16">
      <v>28</v>
    </nc>
  </rcc>
  <rcc rId="560" sId="3">
    <oc r="A17">
      <v>30</v>
    </oc>
    <nc r="A17">
      <v>29</v>
    </nc>
  </rcc>
  <rcc rId="561" sId="3">
    <oc r="A19">
      <v>31</v>
    </oc>
    <nc r="A19">
      <v>30</v>
    </nc>
  </rcc>
  <rcc rId="562" sId="3">
    <oc r="A21">
      <v>32</v>
    </oc>
    <nc r="A21">
      <v>31</v>
    </nc>
  </rcc>
  <rcc rId="563" sId="3">
    <oc r="A22">
      <v>33</v>
    </oc>
    <nc r="A22">
      <v>32</v>
    </nc>
  </rcc>
  <rcc rId="564" sId="3">
    <oc r="A23">
      <v>34</v>
    </oc>
    <nc r="A23">
      <v>33</v>
    </nc>
  </rcc>
  <rcc rId="565" sId="3">
    <oc r="A24">
      <v>35</v>
    </oc>
    <nc r="A24">
      <v>34</v>
    </nc>
  </rcc>
  <rcc rId="566" sId="3" odxf="1" dxf="1">
    <oc r="A25">
      <v>36</v>
    </oc>
    <nc r="A25">
      <v>35</v>
    </nc>
    <odxf>
      <fill>
        <patternFill patternType="none">
          <bgColor indexed="65"/>
        </patternFill>
      </fill>
    </odxf>
    <ndxf>
      <fill>
        <patternFill patternType="solid">
          <bgColor rgb="FFF2F2F2"/>
        </patternFill>
      </fill>
    </ndxf>
  </rcc>
  <rcc rId="567" sId="3" odxf="1" dxf="1">
    <oc r="A26">
      <v>37</v>
    </oc>
    <nc r="A26">
      <v>36</v>
    </nc>
    <odxf>
      <fill>
        <patternFill patternType="solid">
          <bgColor rgb="FFF2F2F2"/>
        </patternFill>
      </fill>
    </odxf>
    <ndxf>
      <fill>
        <patternFill patternType="none">
          <bgColor indexed="65"/>
        </patternFill>
      </fill>
    </ndxf>
  </rcc>
  <rcc rId="568" sId="3" odxf="1" dxf="1">
    <oc r="A27">
      <v>38</v>
    </oc>
    <nc r="A27">
      <v>37</v>
    </nc>
    <odxf>
      <fill>
        <patternFill patternType="none">
          <bgColor indexed="65"/>
        </patternFill>
      </fill>
    </odxf>
    <ndxf>
      <fill>
        <patternFill patternType="solid">
          <bgColor rgb="FFF2F2F2"/>
        </patternFill>
      </fill>
    </ndxf>
  </rcc>
  <rcc rId="569" sId="3">
    <oc r="A28">
      <v>39</v>
    </oc>
    <nc r="A28">
      <v>38</v>
    </nc>
  </rcc>
  <rcc rId="570" sId="3">
    <oc r="A29">
      <v>40</v>
    </oc>
    <nc r="A29">
      <v>39</v>
    </nc>
  </rcc>
  <rcc rId="571" sId="3">
    <oc r="A30">
      <v>41</v>
    </oc>
    <nc r="A30">
      <v>40</v>
    </nc>
  </rcc>
  <rcc rId="572" sId="3" odxf="1" dxf="1">
    <oc r="A31">
      <v>42</v>
    </oc>
    <nc r="A31">
      <v>41</v>
    </nc>
    <odxf>
      <fill>
        <patternFill patternType="none">
          <bgColor indexed="65"/>
        </patternFill>
      </fill>
    </odxf>
    <ndxf>
      <fill>
        <patternFill patternType="solid">
          <bgColor rgb="FFF2F2F2"/>
        </patternFill>
      </fill>
    </ndxf>
  </rcc>
  <rcc rId="573" sId="3" odxf="1" dxf="1">
    <oc r="A32">
      <v>43</v>
    </oc>
    <nc r="A32">
      <v>42</v>
    </nc>
    <odxf>
      <fill>
        <patternFill patternType="solid">
          <bgColor rgb="FFF2F2F2"/>
        </patternFill>
      </fill>
    </odxf>
    <ndxf>
      <fill>
        <patternFill patternType="none">
          <bgColor indexed="65"/>
        </patternFill>
      </fill>
    </ndxf>
  </rcc>
  <rcc rId="574" sId="3" odxf="1" dxf="1">
    <oc r="A33">
      <v>44</v>
    </oc>
    <nc r="A33">
      <v>43</v>
    </nc>
    <odxf>
      <fill>
        <patternFill patternType="none">
          <bgColor indexed="65"/>
        </patternFill>
      </fill>
    </odxf>
    <ndxf>
      <fill>
        <patternFill patternType="solid">
          <bgColor rgb="FFF2F2F2"/>
        </patternFill>
      </fill>
    </ndxf>
  </rcc>
  <rcc rId="575" sId="3">
    <oc r="A34">
      <v>45</v>
    </oc>
    <nc r="A34">
      <v>44</v>
    </nc>
  </rcc>
  <rcc rId="576" sId="3">
    <oc r="A35">
      <v>46</v>
    </oc>
    <nc r="A35">
      <v>45</v>
    </nc>
  </rcc>
  <rcv guid="{85B28F95-3488-41DC-90A4-160F98D9658E}" action="delete"/>
  <rcv guid="{85B28F95-3488-41DC-90A4-160F98D9658E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7" sId="2">
    <nc r="A1">
      <f>BOM_word!A42</f>
    </nc>
  </rcc>
  <rcc rId="578" sId="2">
    <nc r="B1">
      <f>BOM_word!D42</f>
    </nc>
  </rcc>
  <rcc rId="579" sId="2">
    <nc r="C1">
      <f>BOM_word!B42</f>
    </nc>
  </rcc>
  <rcc rId="580" sId="2">
    <nc r="G1" t="inlineStr">
      <is>
        <t>FR-4 and Copper</t>
      </is>
    </nc>
  </rcc>
  <rcc rId="581" sId="2">
    <nc r="A13">
      <f>BOM_word!A43</f>
    </nc>
  </rcc>
  <rcc rId="582" sId="2">
    <nc r="A15">
      <v>15</v>
    </nc>
  </rcc>
  <rcc rId="583" sId="2">
    <nc r="A14">
      <v>14</v>
    </nc>
  </rcc>
  <rcc rId="584" sId="2">
    <nc r="A16">
      <v>16</v>
    </nc>
  </rcc>
  <rcc rId="585" sId="2">
    <nc r="A17">
      <v>17</v>
    </nc>
  </rcc>
  <rcc rId="586" sId="2">
    <nc r="A18">
      <v>18</v>
    </nc>
  </rcc>
  <rcc rId="587" sId="2">
    <nc r="A19">
      <v>19</v>
    </nc>
  </rcc>
  <rcc rId="588" sId="2">
    <nc r="A20">
      <v>20</v>
    </nc>
  </rcc>
  <rcc rId="589" sId="2">
    <nc r="A21">
      <v>21</v>
    </nc>
  </rcc>
  <rcc rId="590" sId="2">
    <nc r="A22">
      <v>22</v>
    </nc>
  </rcc>
  <rcc rId="591" sId="2">
    <nc r="A23">
      <v>23</v>
    </nc>
  </rcc>
  <rcc rId="592" sId="2">
    <nc r="A24">
      <v>24</v>
    </nc>
  </rcc>
  <rcc rId="593" sId="2">
    <nc r="A25">
      <v>25</v>
    </nc>
  </rcc>
  <rcc rId="594" sId="2">
    <nc r="A26">
      <v>26</v>
    </nc>
  </rcc>
  <rcc rId="595" sId="2">
    <nc r="B13">
      <v>1</v>
    </nc>
  </rcc>
  <rcc rId="596" sId="2">
    <nc r="B14">
      <v>1</v>
    </nc>
  </rcc>
  <rcc rId="597" sId="2">
    <nc r="B16">
      <v>1</v>
    </nc>
  </rcc>
  <rcc rId="598" sId="2">
    <nc r="B17">
      <v>1</v>
    </nc>
  </rcc>
  <rcc rId="599" sId="2">
    <nc r="B18">
      <v>1</v>
    </nc>
  </rcc>
  <rcc rId="600" sId="2">
    <nc r="B19">
      <v>1</v>
    </nc>
  </rcc>
  <rcc rId="601" sId="2">
    <nc r="B20">
      <v>1</v>
    </nc>
  </rcc>
  <rcc rId="602" sId="2">
    <nc r="B21">
      <v>1</v>
    </nc>
  </rcc>
  <rcc rId="603" sId="2">
    <nc r="B22">
      <v>1</v>
    </nc>
  </rcc>
  <rcc rId="604" sId="2">
    <nc r="B23">
      <v>1</v>
    </nc>
  </rcc>
  <rcc rId="605" sId="2">
    <nc r="B24">
      <v>1</v>
    </nc>
  </rcc>
  <rcc rId="606" sId="2">
    <nc r="B25">
      <v>1</v>
    </nc>
  </rcc>
  <rcc rId="607" sId="2">
    <nc r="B26">
      <v>1</v>
    </nc>
  </rcc>
  <rcc rId="608" sId="2">
    <nc r="B15">
      <v>2</v>
    </nc>
  </rcc>
  <rcc rId="609" sId="3">
    <oc r="B14" t="inlineStr">
      <is>
        <t>Butten Head Screws</t>
      </is>
    </oc>
    <nc r="B14"/>
  </rcc>
  <rcc rId="610" sId="3">
    <oc r="B13" t="inlineStr">
      <is>
        <t>M4 x 0.7 x 12</t>
      </is>
    </oc>
    <nc r="B13" t="inlineStr">
      <is>
        <t>M4 x 0.7 x 12  Butten Head Screws</t>
      </is>
    </nc>
  </rcc>
  <rcc rId="611" sId="3">
    <oc r="B16" t="inlineStr">
      <is>
        <t>Butten Head Screws</t>
      </is>
    </oc>
    <nc r="B16"/>
  </rcc>
  <rcc rId="612" sId="3">
    <oc r="B15" t="inlineStr">
      <is>
        <t>M3 x 0.5 x 10</t>
      </is>
    </oc>
    <nc r="B15" t="inlineStr">
      <is>
        <t>M3 x 0.5 x 10 Butten Head Screws</t>
      </is>
    </nc>
  </rcc>
  <rcc rId="613" sId="3">
    <oc r="B18" t="inlineStr">
      <is>
        <t>Butten Head Screws</t>
      </is>
    </oc>
    <nc r="B18"/>
  </rcc>
  <rcc rId="614" sId="3">
    <oc r="B17" t="inlineStr">
      <is>
        <t>M3 x 0.5 x 8</t>
      </is>
    </oc>
    <nc r="B17" t="inlineStr">
      <is>
        <t>M3 x 0.5 x 8 Butten Head Screws</t>
      </is>
    </nc>
  </rcc>
  <rcc rId="615" sId="3">
    <oc r="B20" t="inlineStr">
      <is>
        <t>Butten Head Screws</t>
      </is>
    </oc>
    <nc r="B20"/>
  </rcc>
  <rcc rId="616" sId="3">
    <oc r="B19" t="inlineStr">
      <is>
        <t>M3 x 0.5 x 6</t>
      </is>
    </oc>
    <nc r="B19" t="inlineStr">
      <is>
        <t>M3 x 0.5 x 6 Butten Head Screws</t>
      </is>
    </nc>
  </rcc>
  <rrc rId="617" sId="3" ref="A20:XFD20" action="deleteRow">
    <rfmt sheetId="3" xfDxf="1" sqref="A20:XFD20" start="0" length="0"/>
    <rfmt sheetId="3" sqref="A20" start="0" length="0">
      <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B20" start="0" length="0">
      <dxf>
        <font>
          <sz val="12"/>
          <color theme="1"/>
          <name val="Times New Roman"/>
          <family val="1"/>
          <scheme val="none"/>
        </font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20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20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E20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>
      <nc r="H20" t="b">
        <v>0</v>
      </nc>
    </rcc>
  </rrc>
  <rrc rId="618" sId="3" ref="A18:XFD18" action="deleteRow">
    <rfmt sheetId="3" xfDxf="1" sqref="A18:XFD18" start="0" length="0"/>
    <rfmt sheetId="3" sqref="A18" start="0" length="0">
      <dxf>
        <font>
          <b/>
          <sz val="12"/>
          <color theme="1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B18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18" start="0" length="0">
      <dxf>
        <font>
          <sz val="12"/>
          <color theme="1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18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E18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>
      <nc r="H18" t="b">
        <v>0</v>
      </nc>
    </rcc>
  </rrc>
  <rcc rId="619" sId="3">
    <nc r="A15">
      <v>28</v>
    </nc>
  </rcc>
  <rrc rId="620" sId="3" ref="A16:XFD16" action="deleteRow">
    <rfmt sheetId="3" xfDxf="1" sqref="A16:XFD16" start="0" length="0"/>
    <rcc rId="0" sId="3" dxf="1">
      <nc r="A16">
        <v>28</v>
      </nc>
      <ndxf>
        <font>
          <b/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</border>
      </ndxf>
    </rcc>
    <rfmt sheetId="3" sqref="B16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16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</border>
      </dxf>
    </rfmt>
    <rfmt sheetId="3" sqref="D16" start="0" length="0">
      <dxf>
        <font>
          <sz val="12"/>
          <color theme="1"/>
          <name val="Times New Roman"/>
          <family val="1"/>
          <scheme val="none"/>
        </font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</border>
      </dxf>
    </rfmt>
    <rfmt sheetId="3" sqref="E16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>
      <nc r="H16" t="b">
        <v>0</v>
      </nc>
    </rcc>
  </rrc>
  <rrc rId="621" sId="3" ref="A14:XFD14" action="deleteRow">
    <rfmt sheetId="3" xfDxf="1" sqref="A14:XFD14" start="0" length="0"/>
    <rfmt sheetId="3" sqref="A14" start="0" length="0">
      <dxf>
        <font>
          <b/>
          <sz val="12"/>
          <color theme="1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B14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 wrapText="1"/>
        <border outline="0">
          <right style="medium">
            <color rgb="FFBFBFBF"/>
          </right>
          <bottom style="medium">
            <color rgb="FFBFBFBF"/>
          </bottom>
        </border>
      </dxf>
    </rfmt>
    <rfmt sheetId="3" sqref="C14" start="0" length="0">
      <dxf>
        <font>
          <sz val="12"/>
          <color theme="1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14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E14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justify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>
      <nc r="H14" t="b">
        <v>0</v>
      </nc>
    </rcc>
  </rrc>
  <rcc rId="622" sId="3">
    <oc r="A41" t="inlineStr">
      <is>
        <t>(U12 in 10.3.1 Schematic)</t>
      </is>
    </oc>
    <nc r="A41"/>
  </rcc>
  <rcc rId="623" sId="3">
    <oc r="B39" t="inlineStr">
      <is>
        <t>M12 Load Cell Cable (77 2529 0000 50705-0200)</t>
      </is>
    </oc>
    <nc r="B39" t="inlineStr">
      <is>
        <t xml:space="preserve">M12 Load Cell Cable </t>
      </is>
    </nc>
  </rcc>
  <rrc rId="624" sId="3" ref="A41:XFD41" action="deleteRow">
    <rfmt sheetId="3" xfDxf="1" sqref="A41:XFD41" start="0" length="0"/>
    <rfmt sheetId="3" sqref="A41" start="0" length="0">
      <dxf>
        <font>
          <sz val="10"/>
          <color rgb="FF000000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41" t="inlineStr">
        <is>
          <t>(ER-TFT101-1)</t>
        </is>
      </nc>
      <n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1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1" start="0" length="0">
      <dxf>
        <font>
          <b/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25" sId="3" ref="A42:XFD42" action="deleteRow">
    <rfmt sheetId="3" xfDxf="1" sqref="A42:XFD42" start="0" length="0"/>
    <rcc rId="0" sId="3" dxf="1">
      <nc r="A42" t="inlineStr">
        <is>
          <t>(SW1, SW2 in 10.3.1 Schematic)</t>
        </is>
      </nc>
      <ndxf>
        <font>
          <sz val="10"/>
          <color rgb="FF000000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ndxf>
    </rcc>
    <rfmt sheetId="3" sqref="B42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C42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2" start="0" length="0">
      <dxf>
        <font>
          <b/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26" sId="3" ref="A43:XFD43" action="deleteRow">
    <rfmt sheetId="3" xfDxf="1" sqref="A43:XFD43" start="0" length="0"/>
    <rcc rId="0" sId="3" dxf="1">
      <nc r="A43" t="inlineStr">
        <is>
          <t>(J1 in 10.3.1 Schematic)</t>
        </is>
      </nc>
      <ndxf>
        <font>
          <sz val="10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ndxf>
    </rcc>
    <rcc rId="0" sId="3" dxf="1">
      <nc r="B43" t="inlineStr">
        <is>
          <t>(ABQEHI)</t>
        </is>
      </nc>
      <n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3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3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27" sId="3" ref="A44:XFD44" action="deleteRow">
    <rfmt sheetId="3" xfDxf="1" sqref="A44:XFD44" start="0" length="0"/>
    <rcc rId="0" sId="3" dxf="1">
      <nc r="A44" t="inlineStr">
        <is>
          <t>(J2 in 10.3.1 Schematic)</t>
        </is>
      </nc>
      <ndxf>
        <font>
          <sz val="10"/>
          <color rgb="FF000000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ndxf>
    </rcc>
    <rcc rId="0" sId="3" dxf="1">
      <nc r="B44" t="inlineStr">
        <is>
          <t>(SS-52200-001)</t>
        </is>
      </nc>
      <n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4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4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28" sId="3" ref="A45:XFD45" action="deleteRow">
    <rfmt sheetId="3" xfDxf="1" sqref="A45:XFD45" start="0" length="0"/>
    <rcc rId="0" sId="3" dxf="1">
      <nc r="A45" t="inlineStr">
        <is>
          <t>(J3 in 10.3.1 Schematic)</t>
        </is>
      </nc>
      <ndxf>
        <font>
          <sz val="10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ndxf>
    </rcc>
    <rcc rId="0" sId="3" dxf="1">
      <nc r="B45" t="inlineStr">
        <is>
          <t>(SS-52400-012)</t>
        </is>
      </nc>
      <n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5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5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29" sId="3" ref="A46:XFD46" action="deleteRow">
    <rfmt sheetId="3" xfDxf="1" sqref="A46:XFD46" start="0" length="0"/>
    <rcc rId="0" sId="3" dxf="1">
      <nc r="A46" t="inlineStr">
        <is>
          <r>
            <t>(D2</t>
          </r>
          <r>
            <rPr>
              <sz val="8"/>
              <color rgb="FF000000"/>
              <rFont val="Times New Roman"/>
              <family val="1"/>
            </rPr>
            <t xml:space="preserve"> </t>
          </r>
          <r>
            <rPr>
              <sz val="10"/>
              <color rgb="FF000000"/>
              <rFont val="Times New Roman"/>
              <family val="1"/>
            </rPr>
            <t>in 10.3.1 Schematic)</t>
          </r>
          <r>
            <rPr>
              <sz val="12"/>
              <color rgb="FF000000"/>
              <rFont val="Times New Roman"/>
              <family val="1"/>
            </rPr>
            <t xml:space="preserve">  </t>
          </r>
        </is>
      </nc>
      <ndxf>
        <font>
          <sz val="10"/>
          <color rgb="FF000000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ndxf>
    </rcc>
    <rcc rId="0" sId="3" dxf="1">
      <nc r="B46" t="inlineStr">
        <is>
          <t>(PLTR5-8MM-PR1)</t>
        </is>
      </nc>
      <n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6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6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cc rId="630" sId="3">
    <oc r="B41" t="inlineStr">
      <is>
        <t>Push Buttons (P19TFRGBPOWER)</t>
      </is>
    </oc>
    <nc r="B41" t="inlineStr">
      <is>
        <t>Push Buttons</t>
      </is>
    </nc>
  </rcc>
  <rrc rId="631" sId="3" ref="A47:XFD47" action="deleteRow">
    <rfmt sheetId="3" xfDxf="1" sqref="A47:XFD47" start="0" length="0"/>
    <rfmt sheetId="3" sqref="A47" start="0" length="0">
      <dxf>
        <font>
          <b/>
          <sz val="12"/>
          <color theme="1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47" t="inlineStr">
        <is>
          <t>(YDL866898)</t>
        </is>
      </nc>
      <ndxf>
        <font>
          <sz val="12"/>
          <color theme="1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7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7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32" sId="3" ref="A48:XFD48" action="deleteRow">
    <rfmt sheetId="3" xfDxf="1" sqref="A48:XFD48" start="0" length="0"/>
    <rfmt sheetId="3" sqref="A48" start="0" length="0">
      <dxf>
        <font>
          <b/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48" t="inlineStr">
        <is>
          <t>(A151)</t>
        </is>
      </nc>
      <n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8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8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33" sId="3" ref="A49:XFD49" action="deleteRow">
    <rfmt sheetId="3" xfDxf="1" sqref="A49:XFD49" start="0" length="0"/>
    <rfmt sheetId="3" sqref="A49" start="0" length="0">
      <dxf>
        <font>
          <b/>
          <sz val="12"/>
          <color theme="1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49" t="inlineStr">
        <is>
          <t>(C202)</t>
        </is>
      </nc>
      <ndxf>
        <font>
          <sz val="12"/>
          <color theme="1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49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49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34" sId="3" ref="A50:XFD50" action="deleteRow">
    <rfmt sheetId="3" xfDxf="1" sqref="A50:XFD50" start="0" length="0"/>
    <rfmt sheetId="3" sqref="A50" start="0" length="0">
      <dxf>
        <font>
          <b/>
          <sz val="12"/>
          <color theme="1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top style="medium">
            <color rgb="FFBFBFBF"/>
          </top>
        </border>
      </dxf>
    </rfmt>
    <rcc rId="0" sId="3" dxf="1">
      <nc r="B50" t="inlineStr">
        <is>
          <t>(E20K)</t>
        </is>
      </nc>
      <n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50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50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35" sId="3" ref="A51:XFD51" action="deleteRow">
    <rfmt sheetId="3" xfDxf="1" sqref="A51:XFD51" start="0" length="0"/>
    <rfmt sheetId="3" sqref="A51" start="0" length="0">
      <dxf>
        <font>
          <b/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left" vertical="center"/>
        <border outline="0">
          <left style="medium">
            <color rgb="FFBFBFBF"/>
          </left>
          <right style="medium">
            <color rgb="FFBFBFBF"/>
          </right>
          <top style="medium">
            <color rgb="FFBFBFBF"/>
          </top>
        </border>
      </dxf>
    </rfmt>
    <rcc rId="0" sId="3" dxf="1">
      <nc r="B51" t="inlineStr">
        <is>
          <t>(D45K)</t>
        </is>
      </nc>
      <ndxf>
        <font>
          <sz val="12"/>
          <color theme="1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51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51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36" sId="3" ref="A52:XFD52" action="deleteRow">
    <rfmt sheetId="3" xfDxf="1" sqref="A52:XFD52" start="0" length="0"/>
    <rfmt sheetId="3" sqref="A52" start="0" length="0">
      <dxf>
        <font>
          <b/>
          <sz val="12"/>
          <color theme="1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52" t="inlineStr">
        <is>
          <t>(F250K)</t>
        </is>
      </nc>
      <n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52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52" start="0" length="0">
      <dxf>
        <font>
          <sz val="12"/>
          <color rgb="FF000000"/>
          <name val="Times New Roman"/>
          <family val="1"/>
          <scheme val="none"/>
        </font>
        <fill>
          <patternFill patternType="solid">
            <bgColor rgb="FFF2F2F2"/>
          </patternFill>
        </fill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rc rId="637" sId="3" ref="A53:XFD53" action="deleteRow">
    <rfmt sheetId="3" xfDxf="1" sqref="A53:XFD53" start="0" length="0"/>
    <rfmt sheetId="3" sqref="A53" start="0" length="0">
      <dxf>
        <font>
          <b/>
          <sz val="12"/>
          <color theme="1"/>
          <name val="Times New Roman"/>
          <family val="1"/>
          <scheme val="none"/>
        </font>
        <alignment horizontal="lef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cc rId="0" sId="3" dxf="1">
      <nc r="B53" t="inlineStr">
        <is>
          <t>(F3000K)</t>
        </is>
      </nc>
      <ndxf>
        <font>
          <sz val="12"/>
          <color theme="1"/>
          <name val="Times New Roman"/>
          <family val="1"/>
          <scheme val="none"/>
        </font>
        <alignment horizontal="center" vertical="center" wrapText="1"/>
        <border outline="0">
          <right style="medium">
            <color rgb="FFBFBFBF"/>
          </right>
          <bottom style="medium">
            <color rgb="FFBFBFBF"/>
          </bottom>
        </border>
      </ndxf>
    </rcc>
    <rfmt sheetId="3" sqref="C53" start="0" length="0">
      <dxf>
        <font>
          <sz val="12"/>
          <color rgb="FF000000"/>
          <name val="Times New Roman"/>
          <family val="1"/>
          <scheme val="none"/>
        </font>
        <alignment horizontal="center" vertical="center" wrapText="1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  <rfmt sheetId="3" sqref="D53" start="0" length="0">
      <dxf>
        <font>
          <sz val="12"/>
          <color rgb="FF000000"/>
          <name val="Times New Roman"/>
          <family val="1"/>
          <scheme val="none"/>
        </font>
        <alignment horizontal="right" vertical="center"/>
        <border outline="0">
          <left style="medium">
            <color rgb="FFBFBFBF"/>
          </left>
          <right style="medium">
            <color rgb="FFBFBFBF"/>
          </right>
          <bottom style="medium">
            <color rgb="FFBFBFBF"/>
          </bottom>
        </border>
      </dxf>
    </rfmt>
  </rrc>
  <rcv guid="{85B28F95-3488-41DC-90A4-160F98D9658E}" action="delete"/>
  <rcv guid="{85B28F95-3488-41DC-90A4-160F98D9658E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" sId="2">
    <oc r="A14">
      <v>14</v>
    </oc>
    <nc r="A14">
      <f>BOM_word!A40</f>
    </nc>
  </rcc>
  <rcc rId="639" sId="2">
    <oc r="A15">
      <v>15</v>
    </oc>
    <nc r="A15">
      <f>BOM_word!A41</f>
    </nc>
  </rcc>
  <rcc rId="640" sId="2">
    <oc r="A16">
      <v>16</v>
    </oc>
    <nc r="A16">
      <f>BOM_word!A42</f>
    </nc>
  </rcc>
  <rcc rId="641" sId="2">
    <oc r="A17">
      <v>17</v>
    </oc>
    <nc r="A17">
      <f>BOM_word!A43</f>
    </nc>
  </rcc>
  <rcc rId="642" sId="2">
    <oc r="A18">
      <v>18</v>
    </oc>
    <nc r="A18">
      <f>BOM_word!A44</f>
    </nc>
  </rcc>
  <rcc rId="643" sId="2">
    <oc r="A19">
      <v>19</v>
    </oc>
    <nc r="A19">
      <f>BOM_word!A45</f>
    </nc>
  </rcc>
  <rcc rId="644" sId="2">
    <oc r="A20">
      <v>20</v>
    </oc>
    <nc r="A20">
      <f>BOM_word!A46</f>
    </nc>
  </rcc>
  <rcc rId="645" sId="2">
    <oc r="A21">
      <v>21</v>
    </oc>
    <nc r="A21">
      <f>BOM_word!A47</f>
    </nc>
  </rcc>
  <rcc rId="646" sId="2">
    <oc r="A22">
      <v>22</v>
    </oc>
    <nc r="A22">
      <f>BOM_word!A48</f>
    </nc>
  </rcc>
  <rcc rId="647" sId="2">
    <oc r="A23">
      <v>23</v>
    </oc>
    <nc r="A23">
      <f>BOM_word!A49</f>
    </nc>
  </rcc>
  <rcc rId="648" sId="2">
    <oc r="A24">
      <v>24</v>
    </oc>
    <nc r="A24">
      <f>BOM_word!A50</f>
    </nc>
  </rcc>
  <rcc rId="649" sId="2">
    <oc r="A25">
      <v>25</v>
    </oc>
    <nc r="A25">
      <f>BOM_word!A51</f>
    </nc>
  </rcc>
  <rcc rId="650" sId="2">
    <oc r="A26">
      <v>26</v>
    </oc>
    <nc r="A26">
      <f>BOM_word!A52</f>
    </nc>
  </rcc>
  <rcc rId="651" sId="2">
    <oc r="B13">
      <v>1</v>
    </oc>
    <nc r="B13">
      <f>BOM_word!D39</f>
    </nc>
  </rcc>
  <rcc rId="652" sId="2">
    <oc r="B14">
      <v>1</v>
    </oc>
    <nc r="B14">
      <f>BOM_word!D40</f>
    </nc>
  </rcc>
  <rcc rId="653" sId="2">
    <oc r="B15">
      <v>2</v>
    </oc>
    <nc r="B15">
      <f>BOM_word!D41</f>
    </nc>
  </rcc>
  <rcc rId="654" sId="2">
    <oc r="B16">
      <v>1</v>
    </oc>
    <nc r="B16">
      <f>BOM_word!D42</f>
    </nc>
  </rcc>
  <rcc rId="655" sId="2">
    <oc r="B17">
      <v>1</v>
    </oc>
    <nc r="B17">
      <f>BOM_word!D43</f>
    </nc>
  </rcc>
  <rcc rId="656" sId="2">
    <oc r="B18">
      <v>1</v>
    </oc>
    <nc r="B18">
      <f>BOM_word!D44</f>
    </nc>
  </rcc>
  <rcc rId="657" sId="2">
    <oc r="B19">
      <v>1</v>
    </oc>
    <nc r="B19">
      <f>BOM_word!D45</f>
    </nc>
  </rcc>
  <rcc rId="658" sId="2">
    <oc r="B20">
      <v>1</v>
    </oc>
    <nc r="B20">
      <f>BOM_word!D46</f>
    </nc>
  </rcc>
  <rcc rId="659" sId="2">
    <oc r="B21">
      <v>1</v>
    </oc>
    <nc r="B21">
      <f>BOM_word!D47</f>
    </nc>
  </rcc>
  <rcc rId="660" sId="2">
    <oc r="B22">
      <v>1</v>
    </oc>
    <nc r="B22">
      <f>BOM_word!D48</f>
    </nc>
  </rcc>
  <rcc rId="661" sId="2">
    <oc r="B23">
      <v>1</v>
    </oc>
    <nc r="B23">
      <f>BOM_word!D49</f>
    </nc>
  </rcc>
  <rcc rId="662" sId="2">
    <oc r="B24">
      <v>1</v>
    </oc>
    <nc r="B24">
      <f>BOM_word!D50</f>
    </nc>
  </rcc>
  <rcc rId="663" sId="2">
    <oc r="B25">
      <v>1</v>
    </oc>
    <nc r="B25">
      <f>BOM_word!D51</f>
    </nc>
  </rcc>
  <rcc rId="664" sId="2">
    <oc r="B26">
      <v>1</v>
    </oc>
    <nc r="B26">
      <f>BOM_word!D52</f>
    </nc>
  </rcc>
  <rcc rId="665" sId="2">
    <nc r="C13">
      <f>BOM_word!B39</f>
    </nc>
  </rcc>
  <rcc rId="666" sId="2">
    <nc r="C14">
      <f>BOM_word!B40</f>
    </nc>
  </rcc>
  <rcc rId="667" sId="2">
    <nc r="C15">
      <f>BOM_word!B41</f>
    </nc>
  </rcc>
  <rcc rId="668" sId="2">
    <nc r="C16">
      <f>BOM_word!B42</f>
    </nc>
  </rcc>
  <rcc rId="669" sId="2">
    <nc r="C17">
      <f>BOM_word!B43</f>
    </nc>
  </rcc>
  <rcc rId="670" sId="2">
    <nc r="C18">
      <f>BOM_word!B44</f>
    </nc>
  </rcc>
  <rcc rId="671" sId="2">
    <nc r="C19">
      <f>BOM_word!B45</f>
    </nc>
  </rcc>
  <rcc rId="672" sId="2">
    <nc r="C20">
      <f>BOM_word!B46</f>
    </nc>
  </rcc>
  <rcc rId="673" sId="2">
    <nc r="C21">
      <f>BOM_word!B47</f>
    </nc>
  </rcc>
  <rcc rId="674" sId="2">
    <nc r="C22">
      <f>BOM_word!B48</f>
    </nc>
  </rcc>
  <rcc rId="675" sId="2">
    <nc r="C23">
      <f>BOM_word!B49</f>
    </nc>
  </rcc>
  <rcc rId="676" sId="2">
    <nc r="C24">
      <f>BOM_word!B50</f>
    </nc>
  </rcc>
  <rcc rId="677" sId="2">
    <nc r="C25">
      <f>BOM_word!B51</f>
    </nc>
  </rcc>
  <rcc rId="678" sId="2">
    <nc r="C26">
      <f>BOM_word!B52</f>
    </nc>
  </rcc>
  <rcc rId="679" sId="2">
    <nc r="A27">
      <f>BOM_word!A13</f>
    </nc>
  </rcc>
  <rcc rId="680" sId="2">
    <nc r="A28">
      <f>BOM_word!A14</f>
    </nc>
  </rcc>
  <rcc rId="681" sId="2">
    <nc r="A29">
      <f>BOM_word!A15</f>
    </nc>
  </rcc>
  <rcc rId="682" sId="2">
    <nc r="A30">
      <f>BOM_word!A16</f>
    </nc>
  </rcc>
  <rcc rId="683" sId="2">
    <nc r="A31">
      <f>BOM_word!A17</f>
    </nc>
  </rcc>
  <rcc rId="684" sId="2">
    <nc r="A32">
      <f>BOM_word!A18</f>
    </nc>
  </rcc>
  <rcc rId="685" sId="2">
    <nc r="A33">
      <f>BOM_word!A19</f>
    </nc>
  </rcc>
  <rcc rId="686" sId="2">
    <nc r="A34">
      <f>BOM_word!A20</f>
    </nc>
  </rcc>
  <rcc rId="687" sId="2" odxf="1" dxf="1">
    <nc r="A35">
      <f>BOM_word!A21</f>
    </nc>
    <odxf>
      <border outline="0">
        <top style="thin">
          <color indexed="64"/>
        </top>
      </border>
    </odxf>
    <ndxf>
      <border outline="0">
        <top/>
      </border>
    </ndxf>
  </rcc>
  <rcc rId="688" sId="2" odxf="1" dxf="1">
    <nc r="A36">
      <f>BOM_word!A22</f>
    </nc>
    <odxf>
      <border outline="0">
        <top style="thin">
          <color indexed="64"/>
        </top>
      </border>
    </odxf>
    <ndxf>
      <border outline="0">
        <top/>
      </border>
    </ndxf>
  </rcc>
  <rcc rId="689" sId="2" odxf="1" dxf="1">
    <nc r="A37">
      <f>BOM_word!A23</f>
    </nc>
    <odxf>
      <border outline="0">
        <top style="thin">
          <color indexed="64"/>
        </top>
      </border>
    </odxf>
    <ndxf>
      <border outline="0">
        <top/>
      </border>
    </ndxf>
  </rcc>
  <rcc rId="690" sId="2" odxf="1" dxf="1">
    <nc r="A38">
      <f>BOM_word!A24</f>
    </nc>
    <odxf>
      <border outline="0">
        <top style="thin">
          <color indexed="64"/>
        </top>
      </border>
    </odxf>
    <ndxf>
      <border outline="0">
        <top/>
      </border>
    </ndxf>
  </rcc>
  <rcc rId="691" sId="2" odxf="1" dxf="1">
    <nc r="A39">
      <f>BOM_word!A25</f>
    </nc>
    <odxf>
      <border outline="0">
        <top style="thin">
          <color indexed="64"/>
        </top>
      </border>
    </odxf>
    <ndxf>
      <border outline="0">
        <top/>
      </border>
    </ndxf>
  </rcc>
  <rcc rId="692" sId="2" odxf="1" dxf="1">
    <nc r="A40">
      <f>BOM_word!A26</f>
    </nc>
    <odxf>
      <border outline="0">
        <top style="thin">
          <color indexed="64"/>
        </top>
      </border>
    </odxf>
    <ndxf>
      <border outline="0">
        <top/>
      </border>
    </ndxf>
  </rcc>
  <rcc rId="693" sId="2" odxf="1" dxf="1">
    <nc r="A41">
      <f>BOM_word!A27</f>
    </nc>
    <odxf>
      <border outline="0">
        <top style="thin">
          <color indexed="64"/>
        </top>
      </border>
    </odxf>
    <ndxf>
      <border outline="0">
        <top/>
      </border>
    </ndxf>
  </rcc>
  <rcc rId="694" sId="2" odxf="1" dxf="1">
    <nc r="A42">
      <f>BOM_word!A28</f>
    </nc>
    <odxf>
      <border outline="0">
        <top style="thin">
          <color indexed="64"/>
        </top>
      </border>
    </odxf>
    <ndxf>
      <border outline="0">
        <top/>
      </border>
    </ndxf>
  </rcc>
  <rcc rId="695" sId="2" odxf="1" dxf="1">
    <nc r="A43">
      <f>BOM_word!A29</f>
    </nc>
    <odxf>
      <border outline="0">
        <top style="thin">
          <color indexed="64"/>
        </top>
      </border>
    </odxf>
    <ndxf>
      <border outline="0">
        <top/>
      </border>
    </ndxf>
  </rcc>
  <rcc rId="696" sId="2" odxf="1" dxf="1">
    <nc r="A44">
      <f>BOM_word!A30</f>
    </nc>
    <odxf>
      <border outline="0">
        <top style="thin">
          <color indexed="64"/>
        </top>
      </border>
    </odxf>
    <ndxf>
      <border outline="0">
        <top/>
      </border>
    </ndxf>
  </rcc>
  <rcc rId="697" sId="2" odxf="1" dxf="1">
    <nc r="A45">
      <f>BOM_word!A31</f>
    </nc>
    <odxf>
      <border outline="0">
        <top style="thin">
          <color indexed="64"/>
        </top>
      </border>
    </odxf>
    <ndxf>
      <border outline="0">
        <top/>
      </border>
    </ndxf>
  </rcc>
  <rcc rId="698" sId="2" odxf="1" dxf="1">
    <nc r="A46">
      <f>BOM_word!A32</f>
    </nc>
    <odxf>
      <border outline="0">
        <top style="thin">
          <color indexed="64"/>
        </top>
        <bottom style="medium">
          <color indexed="64"/>
        </bottom>
      </border>
    </odxf>
    <ndxf>
      <border outline="0">
        <top/>
        <bottom style="thin">
          <color indexed="64"/>
        </bottom>
      </border>
    </ndxf>
  </rcc>
  <rrc rId="699" sId="2" ref="A46:XFD46" action="deleteRow">
    <rfmt sheetId="2" xfDxf="1" sqref="A46:XFD46" start="0" length="0"/>
    <rcc rId="0" sId="2" dxf="1">
      <nc r="A46">
        <f>BOM_word!A32</f>
      </nc>
      <ndxf>
        <alignment horizontal="center" vertical="top"/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fmt sheetId="2" sqref="B46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dxf>
    </rfmt>
    <rfmt sheetId="2" sqref="C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dxf>
    </rfmt>
    <rfmt sheetId="2" sqref="D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dxf>
    </rfmt>
    <rfmt sheetId="2" sqref="E4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dxf>
    </rfmt>
    <rcc rId="0" sId="2" dxf="1">
      <nc r="F46" t="inlineStr">
        <is>
          <t>00</t>
        </is>
      </nc>
      <ndxf>
        <numFmt numFmtId="30" formatCode="@"/>
        <alignment horizontal="center" vertical="top"/>
        <border outline="0">
          <left style="thin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fmt sheetId="2" sqref="G46" start="0" length="0">
      <dxf>
        <numFmt numFmtId="30" formatCode="@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medium">
            <color indexed="64"/>
          </bottom>
        </border>
      </dxf>
    </rfmt>
  </rrc>
  <rcc rId="700" sId="2">
    <nc r="B27">
      <f>BOM_word!D13</f>
    </nc>
  </rcc>
  <rcc rId="701" sId="2">
    <nc r="B28">
      <f>BOM_word!D14</f>
    </nc>
  </rcc>
  <rcc rId="702" sId="2">
    <nc r="B29">
      <f>BOM_word!D15</f>
    </nc>
  </rcc>
  <rcc rId="703" sId="2">
    <nc r="B30">
      <f>BOM_word!D16</f>
    </nc>
  </rcc>
  <rcc rId="704" sId="2">
    <nc r="B31">
      <f>BOM_word!D17</f>
    </nc>
  </rcc>
  <rcc rId="705" sId="2">
    <nc r="B32">
      <f>BOM_word!D18</f>
    </nc>
  </rcc>
  <rcc rId="706" sId="2">
    <nc r="B33">
      <f>BOM_word!D19</f>
    </nc>
  </rcc>
  <rcc rId="707" sId="2">
    <nc r="B34">
      <f>BOM_word!D20</f>
    </nc>
  </rcc>
  <rcc rId="708" sId="2" odxf="1" dxf="1">
    <nc r="B35">
      <f>BOM_word!D21</f>
    </nc>
    <odxf>
      <border outline="0">
        <top style="thin">
          <color indexed="64"/>
        </top>
      </border>
    </odxf>
    <ndxf>
      <border outline="0">
        <top/>
      </border>
    </ndxf>
  </rcc>
  <rcc rId="709" sId="2" odxf="1" dxf="1">
    <nc r="B36">
      <f>BOM_word!D22</f>
    </nc>
    <odxf>
      <border outline="0">
        <top style="thin">
          <color indexed="64"/>
        </top>
      </border>
    </odxf>
    <ndxf>
      <border outline="0">
        <top/>
      </border>
    </ndxf>
  </rcc>
  <rcc rId="710" sId="2" odxf="1" dxf="1">
    <nc r="B37">
      <f>BOM_word!D23</f>
    </nc>
    <odxf>
      <border outline="0">
        <top style="thin">
          <color indexed="64"/>
        </top>
      </border>
    </odxf>
    <ndxf>
      <border outline="0">
        <top/>
      </border>
    </ndxf>
  </rcc>
  <rcc rId="711" sId="2" odxf="1" dxf="1">
    <nc r="B38">
      <f>BOM_word!D24</f>
    </nc>
    <odxf>
      <border outline="0">
        <top style="thin">
          <color indexed="64"/>
        </top>
      </border>
    </odxf>
    <ndxf>
      <border outline="0">
        <top/>
      </border>
    </ndxf>
  </rcc>
  <rcc rId="712" sId="2" odxf="1" dxf="1">
    <nc r="B39">
      <f>BOM_word!D25</f>
    </nc>
    <odxf>
      <border outline="0">
        <top style="thin">
          <color indexed="64"/>
        </top>
      </border>
    </odxf>
    <ndxf>
      <border outline="0">
        <top/>
      </border>
    </ndxf>
  </rcc>
  <rcc rId="713" sId="2" odxf="1" dxf="1">
    <nc r="B40">
      <f>BOM_word!D26</f>
    </nc>
    <odxf>
      <border outline="0">
        <top style="thin">
          <color indexed="64"/>
        </top>
      </border>
    </odxf>
    <ndxf>
      <border outline="0">
        <top/>
      </border>
    </ndxf>
  </rcc>
  <rcc rId="714" sId="2" odxf="1" dxf="1">
    <nc r="B41">
      <f>BOM_word!D27</f>
    </nc>
    <odxf>
      <border outline="0">
        <top style="thin">
          <color indexed="64"/>
        </top>
      </border>
    </odxf>
    <ndxf>
      <border outline="0">
        <top/>
      </border>
    </ndxf>
  </rcc>
  <rcc rId="715" sId="2" odxf="1" dxf="1">
    <nc r="B42">
      <f>BOM_word!D28</f>
    </nc>
    <odxf>
      <border outline="0">
        <top style="thin">
          <color indexed="64"/>
        </top>
      </border>
    </odxf>
    <ndxf>
      <border outline="0">
        <top/>
      </border>
    </ndxf>
  </rcc>
  <rcc rId="716" sId="2" odxf="1" dxf="1">
    <nc r="B43">
      <f>BOM_word!D29</f>
    </nc>
    <odxf>
      <border outline="0">
        <top style="thin">
          <color indexed="64"/>
        </top>
      </border>
    </odxf>
    <ndxf>
      <border outline="0">
        <top/>
      </border>
    </ndxf>
  </rcc>
  <rcc rId="717" sId="2" odxf="1" dxf="1">
    <nc r="B44">
      <f>BOM_word!D30</f>
    </nc>
    <odxf>
      <border outline="0">
        <top style="thin">
          <color indexed="64"/>
        </top>
      </border>
    </odxf>
    <ndxf>
      <border outline="0">
        <top/>
      </border>
    </ndxf>
  </rcc>
  <rcc rId="718" sId="2" odxf="1" dxf="1">
    <nc r="B45">
      <f>BOM_word!D31</f>
    </nc>
    <odxf>
      <border outline="0">
        <top style="thin">
          <color indexed="64"/>
        </top>
      </border>
    </odxf>
    <ndxf>
      <border outline="0">
        <top/>
      </border>
    </ndxf>
  </rcc>
  <rcc rId="719" sId="2">
    <nc r="C27">
      <f>BOM_word!B13</f>
    </nc>
  </rcc>
  <rcc rId="720" sId="2">
    <nc r="C28">
      <f>BOM_word!B14</f>
    </nc>
  </rcc>
  <rcc rId="721" sId="2">
    <nc r="C29">
      <f>BOM_word!B15</f>
    </nc>
  </rcc>
  <rcc rId="722" sId="2">
    <nc r="C30">
      <f>BOM_word!B16</f>
    </nc>
  </rcc>
  <rcc rId="723" sId="2">
    <nc r="C31">
      <f>BOM_word!B17</f>
    </nc>
  </rcc>
  <rcc rId="724" sId="2">
    <nc r="C32">
      <f>BOM_word!B18</f>
    </nc>
  </rcc>
  <rcc rId="725" sId="2">
    <nc r="C33">
      <f>BOM_word!B19</f>
    </nc>
  </rcc>
  <rcc rId="726" sId="2">
    <nc r="C34">
      <f>BOM_word!B20</f>
    </nc>
  </rcc>
  <rcc rId="727" sId="2" odxf="1" dxf="1">
    <nc r="C35">
      <f>BOM_word!B21</f>
    </nc>
    <odxf>
      <border outline="0">
        <top style="thin">
          <color indexed="64"/>
        </top>
      </border>
    </odxf>
    <ndxf>
      <border outline="0">
        <top/>
      </border>
    </ndxf>
  </rcc>
  <rcc rId="728" sId="2" odxf="1" dxf="1">
    <nc r="C36">
      <f>BOM_word!B22</f>
    </nc>
    <odxf>
      <border outline="0">
        <top style="thin">
          <color indexed="64"/>
        </top>
      </border>
    </odxf>
    <ndxf>
      <border outline="0">
        <top/>
      </border>
    </ndxf>
  </rcc>
  <rcc rId="729" sId="2" odxf="1" dxf="1">
    <nc r="C37">
      <f>BOM_word!B23</f>
    </nc>
    <odxf>
      <border outline="0">
        <top style="thin">
          <color indexed="64"/>
        </top>
      </border>
    </odxf>
    <ndxf>
      <border outline="0">
        <top/>
      </border>
    </ndxf>
  </rcc>
  <rcc rId="730" sId="2" odxf="1" dxf="1">
    <nc r="C38">
      <f>BOM_word!B24</f>
    </nc>
    <odxf>
      <border outline="0">
        <top style="thin">
          <color indexed="64"/>
        </top>
      </border>
    </odxf>
    <ndxf>
      <border outline="0">
        <top/>
      </border>
    </ndxf>
  </rcc>
  <rcc rId="731" sId="2" odxf="1" dxf="1">
    <nc r="C39">
      <f>BOM_word!B25</f>
    </nc>
    <odxf>
      <border outline="0">
        <top style="thin">
          <color indexed="64"/>
        </top>
      </border>
    </odxf>
    <ndxf>
      <border outline="0">
        <top/>
      </border>
    </ndxf>
  </rcc>
  <rcc rId="732" sId="2" odxf="1" dxf="1">
    <nc r="C40">
      <f>BOM_word!B26</f>
    </nc>
    <odxf>
      <border outline="0">
        <top style="thin">
          <color indexed="64"/>
        </top>
      </border>
    </odxf>
    <ndxf>
      <border outline="0">
        <top/>
      </border>
    </ndxf>
  </rcc>
  <rcc rId="733" sId="2" odxf="1" dxf="1">
    <nc r="C41">
      <f>BOM_word!B27</f>
    </nc>
    <odxf>
      <border outline="0">
        <top style="thin">
          <color indexed="64"/>
        </top>
      </border>
    </odxf>
    <ndxf>
      <border outline="0">
        <top/>
      </border>
    </ndxf>
  </rcc>
  <rcc rId="734" sId="2" odxf="1" dxf="1">
    <nc r="C42">
      <f>BOM_word!B28</f>
    </nc>
    <odxf>
      <border outline="0">
        <top style="thin">
          <color indexed="64"/>
        </top>
      </border>
    </odxf>
    <ndxf>
      <border outline="0">
        <top/>
      </border>
    </ndxf>
  </rcc>
  <rcc rId="735" sId="2" odxf="1" dxf="1">
    <nc r="C43">
      <f>BOM_word!B29</f>
    </nc>
    <odxf>
      <border outline="0">
        <top style="thin">
          <color indexed="64"/>
        </top>
      </border>
    </odxf>
    <ndxf>
      <border outline="0">
        <top/>
      </border>
    </ndxf>
  </rcc>
  <rcc rId="736" sId="2" odxf="1" dxf="1">
    <nc r="C44">
      <f>BOM_word!B30</f>
    </nc>
    <odxf>
      <border outline="0">
        <top style="thin">
          <color indexed="64"/>
        </top>
      </border>
    </odxf>
    <ndxf>
      <border outline="0">
        <top/>
      </border>
    </ndxf>
  </rcc>
  <rcc rId="737" sId="2" odxf="1" dxf="1">
    <nc r="C45">
      <f>BOM_word!B31</f>
    </nc>
    <odxf>
      <border outline="0">
        <top style="thin">
          <color indexed="64"/>
        </top>
      </border>
    </odxf>
    <ndxf>
      <border outline="0">
        <top/>
      </border>
    </ndxf>
  </rcc>
  <rcc rId="738" sId="2">
    <nc r="D27">
      <f>BOM_word!E13</f>
    </nc>
  </rcc>
  <rcc rId="739" sId="2">
    <nc r="D28">
      <f>BOM_word!E14</f>
    </nc>
  </rcc>
  <rcc rId="740" sId="2">
    <nc r="D29">
      <f>BOM_word!E15</f>
    </nc>
  </rcc>
  <rcc rId="741" sId="2">
    <nc r="D30">
      <f>BOM_word!E16</f>
    </nc>
  </rcc>
  <rcc rId="742" sId="2">
    <nc r="D31">
      <f>BOM_word!E17</f>
    </nc>
  </rcc>
  <rcc rId="743" sId="2">
    <nc r="D32">
      <f>BOM_word!E18</f>
    </nc>
  </rcc>
  <rcc rId="744" sId="2">
    <nc r="D33">
      <f>BOM_word!E19</f>
    </nc>
  </rcc>
  <rcc rId="745" sId="2">
    <nc r="D34">
      <f>BOM_word!E20</f>
    </nc>
  </rcc>
  <rcc rId="746" sId="2" odxf="1" dxf="1">
    <nc r="D35">
      <f>BOM_word!E21</f>
    </nc>
    <odxf>
      <border outline="0">
        <top style="thin">
          <color indexed="64"/>
        </top>
      </border>
    </odxf>
    <ndxf>
      <border outline="0">
        <top/>
      </border>
    </ndxf>
  </rcc>
  <rcc rId="747" sId="2" odxf="1" dxf="1">
    <nc r="D36">
      <f>BOM_word!E22</f>
    </nc>
    <odxf>
      <border outline="0">
        <top style="thin">
          <color indexed="64"/>
        </top>
      </border>
    </odxf>
    <ndxf>
      <border outline="0">
        <top/>
      </border>
    </ndxf>
  </rcc>
  <rcc rId="748" sId="2" odxf="1" dxf="1">
    <nc r="D37">
      <f>BOM_word!E23</f>
    </nc>
    <odxf>
      <border outline="0">
        <top style="thin">
          <color indexed="64"/>
        </top>
      </border>
    </odxf>
    <ndxf>
      <border outline="0">
        <top/>
      </border>
    </ndxf>
  </rcc>
  <rcc rId="749" sId="2" odxf="1" dxf="1">
    <nc r="D38">
      <f>BOM_word!E24</f>
    </nc>
    <odxf>
      <border outline="0">
        <top style="thin">
          <color indexed="64"/>
        </top>
      </border>
    </odxf>
    <ndxf>
      <border outline="0">
        <top/>
      </border>
    </ndxf>
  </rcc>
  <rcc rId="750" sId="2" odxf="1" dxf="1">
    <nc r="D39">
      <f>BOM_word!E25</f>
    </nc>
    <odxf>
      <border outline="0">
        <top style="thin">
          <color indexed="64"/>
        </top>
      </border>
    </odxf>
    <ndxf>
      <border outline="0">
        <top/>
      </border>
    </ndxf>
  </rcc>
  <rcc rId="751" sId="2" odxf="1" dxf="1">
    <nc r="D40">
      <f>BOM_word!E26</f>
    </nc>
    <odxf>
      <border outline="0">
        <top style="thin">
          <color indexed="64"/>
        </top>
      </border>
    </odxf>
    <ndxf>
      <border outline="0">
        <top/>
      </border>
    </ndxf>
  </rcc>
  <rcc rId="752" sId="2" odxf="1" dxf="1">
    <nc r="D41">
      <f>BOM_word!E27</f>
    </nc>
    <odxf>
      <border outline="0">
        <top style="thin">
          <color indexed="64"/>
        </top>
      </border>
    </odxf>
    <ndxf>
      <border outline="0">
        <top/>
      </border>
    </ndxf>
  </rcc>
  <rcc rId="753" sId="2" odxf="1" dxf="1">
    <nc r="D42">
      <f>BOM_word!E28</f>
    </nc>
    <odxf>
      <border outline="0">
        <top style="thin">
          <color indexed="64"/>
        </top>
      </border>
    </odxf>
    <ndxf>
      <border outline="0">
        <top/>
      </border>
    </ndxf>
  </rcc>
  <rcc rId="754" sId="2" odxf="1" dxf="1">
    <nc r="D43">
      <f>BOM_word!E29</f>
    </nc>
    <odxf>
      <border outline="0">
        <top style="thin">
          <color indexed="64"/>
        </top>
      </border>
    </odxf>
    <ndxf>
      <border outline="0">
        <top/>
      </border>
    </ndxf>
  </rcc>
  <rcc rId="755" sId="2" odxf="1" dxf="1">
    <nc r="D44">
      <f>BOM_word!E30</f>
    </nc>
    <odxf>
      <border outline="0">
        <top style="thin">
          <color indexed="64"/>
        </top>
      </border>
    </odxf>
    <ndxf>
      <border outline="0">
        <top/>
      </border>
    </ndxf>
  </rcc>
  <rcc rId="756" sId="2" odxf="1" dxf="1">
    <nc r="D45">
      <f>BOM_word!E31</f>
    </nc>
    <odxf>
      <border outline="0">
        <top style="thin">
          <color indexed="64"/>
        </top>
      </border>
    </odxf>
    <ndxf>
      <border outline="0">
        <top/>
      </border>
    </ndxf>
  </rcc>
  <rfmt sheetId="2" sqref="G27" start="0" length="0">
    <dxf>
      <numFmt numFmtId="0" formatCode="General"/>
      <border outline="0">
        <left/>
        <right/>
        <bottom/>
      </border>
    </dxf>
  </rfmt>
  <rfmt sheetId="2" sqref="G28" start="0" length="0">
    <dxf>
      <numFmt numFmtId="0" formatCode="General"/>
      <border outline="0">
        <left/>
        <right/>
        <bottom/>
      </border>
    </dxf>
  </rfmt>
  <rfmt sheetId="2" sqref="G29" start="0" length="0">
    <dxf>
      <numFmt numFmtId="0" formatCode="General"/>
      <border outline="0">
        <left/>
        <right/>
        <bottom/>
      </border>
    </dxf>
  </rfmt>
  <rfmt sheetId="2" sqref="G30" start="0" length="0">
    <dxf>
      <numFmt numFmtId="0" formatCode="General"/>
      <border outline="0">
        <left/>
        <right/>
        <bottom/>
      </border>
    </dxf>
  </rfmt>
  <rfmt sheetId="2" sqref="G31" start="0" length="0">
    <dxf>
      <numFmt numFmtId="0" formatCode="General"/>
      <border outline="0">
        <left/>
        <right/>
        <bottom/>
      </border>
    </dxf>
  </rfmt>
  <rfmt sheetId="2" sqref="G32" start="0" length="0">
    <dxf>
      <numFmt numFmtId="0" formatCode="General"/>
      <border outline="0">
        <left/>
        <right/>
        <bottom/>
      </border>
    </dxf>
  </rfmt>
  <rfmt sheetId="2" sqref="G33" start="0" length="0">
    <dxf>
      <numFmt numFmtId="0" formatCode="General"/>
      <border outline="0">
        <left/>
        <right/>
        <bottom/>
      </border>
    </dxf>
  </rfmt>
  <rfmt sheetId="2" sqref="G34" start="0" length="0">
    <dxf>
      <numFmt numFmtId="0" formatCode="General"/>
      <border outline="0">
        <left/>
        <right/>
        <bottom/>
      </border>
    </dxf>
  </rfmt>
  <rfmt sheetId="2" sqref="G35" start="0" length="0">
    <dxf>
      <numFmt numFmtId="0" formatCode="General"/>
      <border outline="0">
        <left/>
        <right/>
        <top/>
        <bottom/>
      </border>
    </dxf>
  </rfmt>
  <rfmt sheetId="2" sqref="G36" start="0" length="0">
    <dxf>
      <numFmt numFmtId="0" formatCode="General"/>
      <border outline="0">
        <left/>
        <right/>
        <top/>
        <bottom/>
      </border>
    </dxf>
  </rfmt>
  <rfmt sheetId="2" sqref="G37" start="0" length="0">
    <dxf>
      <numFmt numFmtId="0" formatCode="General"/>
      <border outline="0">
        <left/>
        <right/>
        <top/>
        <bottom/>
      </border>
    </dxf>
  </rfmt>
  <rfmt sheetId="2" sqref="G38" start="0" length="0">
    <dxf>
      <numFmt numFmtId="0" formatCode="General"/>
      <border outline="0">
        <left/>
        <right/>
        <top/>
        <bottom/>
      </border>
    </dxf>
  </rfmt>
  <rfmt sheetId="2" sqref="G39" start="0" length="0">
    <dxf>
      <numFmt numFmtId="0" formatCode="General"/>
      <border outline="0">
        <left/>
        <right/>
        <top/>
        <bottom/>
      </border>
    </dxf>
  </rfmt>
  <rfmt sheetId="2" sqref="G40" start="0" length="0">
    <dxf>
      <numFmt numFmtId="0" formatCode="General"/>
      <border outline="0">
        <left/>
        <right/>
        <top/>
        <bottom/>
      </border>
    </dxf>
  </rfmt>
  <rfmt sheetId="2" sqref="G41" start="0" length="0">
    <dxf>
      <numFmt numFmtId="0" formatCode="General"/>
      <border outline="0">
        <left/>
        <right/>
        <top/>
        <bottom/>
      </border>
    </dxf>
  </rfmt>
  <rfmt sheetId="2" sqref="G42" start="0" length="0">
    <dxf>
      <numFmt numFmtId="0" formatCode="General"/>
      <border outline="0">
        <left/>
        <right/>
        <top/>
        <bottom/>
      </border>
    </dxf>
  </rfmt>
  <rfmt sheetId="2" sqref="G43" start="0" length="0">
    <dxf>
      <numFmt numFmtId="0" formatCode="General"/>
      <border outline="0">
        <left/>
        <right/>
        <top/>
        <bottom/>
      </border>
    </dxf>
  </rfmt>
  <rfmt sheetId="2" sqref="G44" start="0" length="0">
    <dxf>
      <numFmt numFmtId="0" formatCode="General"/>
      <border outline="0">
        <left/>
        <right/>
        <top/>
        <bottom/>
      </border>
    </dxf>
  </rfmt>
  <rfmt sheetId="2" sqref="G45" start="0" length="0">
    <dxf>
      <numFmt numFmtId="0" formatCode="General"/>
      <border outline="0">
        <left/>
        <right/>
        <top/>
        <bottom/>
      </border>
    </dxf>
  </rfmt>
  <rfmt sheetId="2" sqref="G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3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4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5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6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7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8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9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10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11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12" start="0" length="0"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2" sqref="G13" start="0" length="0">
    <dxf>
      <numFmt numFmtId="0" formatCode="General"/>
      <border outline="0">
        <right style="thin">
          <color indexed="64"/>
        </right>
      </border>
    </dxf>
  </rfmt>
  <rm rId="757" sheetId="2" source="J11" destination="J12" sourceSheetId="2"/>
  <rcc rId="758" sId="2" odxf="1" dxf="1">
    <nc r="G27">
      <f>BOM_word!C13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59" sId="2" odxf="1" dxf="1">
    <nc r="G28">
      <f>BOM_word!C14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0" sId="2" odxf="1" dxf="1">
    <nc r="G29">
      <f>BOM_word!C15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1" sId="2" odxf="1" dxf="1">
    <nc r="G30">
      <f>BOM_word!C16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2" sId="2" odxf="1" dxf="1">
    <nc r="G31">
      <f>BOM_word!C17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3" sId="2" odxf="1" dxf="1">
    <nc r="G32">
      <f>BOM_word!C18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4" sId="2" odxf="1" dxf="1">
    <nc r="G33">
      <f>BOM_word!C19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5" sId="2" odxf="1" dxf="1">
    <nc r="G34">
      <f>BOM_word!C20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6" sId="2" odxf="1" dxf="1">
    <nc r="G35">
      <f>BOM_word!C21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7" sId="2" odxf="1" dxf="1">
    <nc r="G36">
      <f>BOM_word!C22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8" sId="2" odxf="1" dxf="1">
    <nc r="G37">
      <f>BOM_word!C23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69" sId="2" odxf="1" dxf="1">
    <nc r="G38">
      <f>BOM_word!C24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0" sId="2" odxf="1" dxf="1">
    <nc r="G39">
      <f>BOM_word!C25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1" sId="2" odxf="1" dxf="1">
    <nc r="G40">
      <f>BOM_word!C26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2" sId="2" odxf="1" dxf="1">
    <nc r="G41">
      <f>BOM_word!C27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3" sId="2" odxf="1" dxf="1">
    <nc r="G42">
      <f>BOM_word!C28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4" sId="2" odxf="1" dxf="1">
    <nc r="G43">
      <f>BOM_word!C29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5" sId="2" odxf="1" dxf="1">
    <nc r="G44">
      <f>BOM_word!C30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cc rId="776" sId="2" odxf="1" dxf="1">
    <nc r="G45">
      <f>BOM_word!C31</f>
    </nc>
    <ndxf>
      <numFmt numFmtId="30" formatCode="@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ndxf>
  </rcc>
  <rfmt sheetId="2" sqref="G1" start="0" length="0">
    <dxf>
      <border outline="0">
        <top/>
      </border>
    </dxf>
  </rfmt>
  <rcc rId="777" sId="2" odxf="1" dxf="1">
    <oc r="G2">
      <f>BOM_word!C2</f>
    </oc>
    <nc r="G2">
      <f>BOM_word!C2</f>
    </nc>
    <ndxf>
      <numFmt numFmtId="30" formatCode="@"/>
      <border outline="0">
        <right style="medium">
          <color indexed="64"/>
        </right>
      </border>
    </ndxf>
  </rcc>
  <rcc rId="778" sId="2" odxf="1" dxf="1">
    <oc r="G3">
      <f>BOM_word!C3</f>
    </oc>
    <nc r="G3">
      <f>BOM_word!C3</f>
    </nc>
    <ndxf>
      <numFmt numFmtId="30" formatCode="@"/>
      <border outline="0">
        <right style="medium">
          <color indexed="64"/>
        </right>
      </border>
    </ndxf>
  </rcc>
  <rcc rId="779" sId="2" odxf="1" dxf="1">
    <oc r="G4">
      <f>BOM_word!C4</f>
    </oc>
    <nc r="G4">
      <f>BOM_word!C4</f>
    </nc>
    <ndxf>
      <numFmt numFmtId="30" formatCode="@"/>
      <border outline="0">
        <right style="medium">
          <color indexed="64"/>
        </right>
      </border>
    </ndxf>
  </rcc>
  <rcc rId="780" sId="2" odxf="1" dxf="1">
    <oc r="G5">
      <f>BOM_word!C5</f>
    </oc>
    <nc r="G5">
      <f>BOM_word!C5</f>
    </nc>
    <ndxf>
      <numFmt numFmtId="30" formatCode="@"/>
      <border outline="0">
        <right style="medium">
          <color indexed="64"/>
        </right>
      </border>
    </ndxf>
  </rcc>
  <rcc rId="781" sId="2" odxf="1" dxf="1">
    <oc r="G6">
      <f>BOM_word!C6</f>
    </oc>
    <nc r="G6">
      <f>BOM_word!C6</f>
    </nc>
    <ndxf>
      <numFmt numFmtId="30" formatCode="@"/>
      <border outline="0">
        <right style="medium">
          <color indexed="64"/>
        </right>
      </border>
    </ndxf>
  </rcc>
  <rcc rId="782" sId="2" odxf="1" dxf="1">
    <oc r="G7">
      <f>BOM_word!C7</f>
    </oc>
    <nc r="G7">
      <f>BOM_word!C7</f>
    </nc>
    <ndxf>
      <numFmt numFmtId="30" formatCode="@"/>
      <border outline="0">
        <right style="medium">
          <color indexed="64"/>
        </right>
      </border>
    </ndxf>
  </rcc>
  <rcc rId="783" sId="2" odxf="1" dxf="1">
    <oc r="G8">
      <f>BOM_word!C8</f>
    </oc>
    <nc r="G8">
      <f>BOM_word!C8</f>
    </nc>
    <ndxf>
      <numFmt numFmtId="30" formatCode="@"/>
      <border outline="0">
        <right style="medium">
          <color indexed="64"/>
        </right>
      </border>
    </ndxf>
  </rcc>
  <rcc rId="784" sId="2" odxf="1" dxf="1">
    <oc r="G9">
      <f>BOM_word!C9</f>
    </oc>
    <nc r="G9">
      <f>BOM_word!C9</f>
    </nc>
    <ndxf>
      <numFmt numFmtId="30" formatCode="@"/>
      <border outline="0">
        <right style="medium">
          <color indexed="64"/>
        </right>
      </border>
    </ndxf>
  </rcc>
  <rcc rId="785" sId="2" odxf="1" dxf="1">
    <oc r="G10">
      <f>BOM_word!C10</f>
    </oc>
    <nc r="G10">
      <f>BOM_word!C10</f>
    </nc>
    <ndxf>
      <numFmt numFmtId="30" formatCode="@"/>
      <border outline="0">
        <right style="medium">
          <color indexed="64"/>
        </right>
      </border>
    </ndxf>
  </rcc>
  <rcc rId="786" sId="2" odxf="1" dxf="1">
    <oc r="G11">
      <f>BOM_word!C11</f>
    </oc>
    <nc r="G11">
      <f>BOM_word!C11</f>
    </nc>
    <ndxf>
      <numFmt numFmtId="30" formatCode="@"/>
      <border outline="0">
        <right style="medium">
          <color indexed="64"/>
        </right>
      </border>
    </ndxf>
  </rcc>
  <rcc rId="787" sId="2" odxf="1" dxf="1">
    <oc r="G12">
      <f>BOM_word!C12</f>
    </oc>
    <nc r="G12">
      <f>BOM_word!C12</f>
    </nc>
    <ndxf>
      <numFmt numFmtId="30" formatCode="@"/>
      <border outline="0">
        <right style="medium">
          <color indexed="64"/>
        </right>
      </border>
    </ndxf>
  </rcc>
  <rfmt sheetId="2" sqref="G13" start="0" length="0">
    <dxf>
      <numFmt numFmtId="30" formatCode="@"/>
      <border outline="0">
        <right style="medium">
          <color indexed="64"/>
        </right>
      </border>
    </dxf>
  </rfmt>
  <rcv guid="{85B28F95-3488-41DC-90A4-160F98D9658E}" action="delete"/>
  <rcv guid="{85B28F95-3488-41DC-90A4-160F98D9658E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B28F95-3488-41DC-90A4-160F98D9658E}" action="delete"/>
  <rcv guid="{85B28F95-3488-41DC-90A4-160F98D9658E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" sId="3">
    <oc r="H3" t="b">
      <v>0</v>
    </oc>
    <nc r="H3" t="b">
      <v>1</v>
    </nc>
  </rcc>
  <rcc rId="789" sId="3">
    <oc r="H4" t="b">
      <v>0</v>
    </oc>
    <nc r="H4" t="b">
      <v>1</v>
    </nc>
  </rcc>
  <rcc rId="790" sId="3">
    <oc r="H5" t="b">
      <v>0</v>
    </oc>
    <nc r="H5" t="b">
      <v>1</v>
    </nc>
  </rcc>
  <rcc rId="791" sId="3">
    <oc r="H6" t="b">
      <v>0</v>
    </oc>
    <nc r="H6" t="b">
      <v>1</v>
    </nc>
  </rcc>
  <rcc rId="792" sId="3">
    <oc r="H7" t="b">
      <v>0</v>
    </oc>
    <nc r="H7" t="b">
      <v>1</v>
    </nc>
  </rcc>
  <rcc rId="793" sId="3">
    <oc r="H8" t="b">
      <v>0</v>
    </oc>
    <nc r="H8" t="b">
      <v>1</v>
    </nc>
  </rcc>
  <rcc rId="794" sId="3">
    <oc r="H9" t="b">
      <v>0</v>
    </oc>
    <nc r="H9" t="b">
      <v>1</v>
    </nc>
  </rcc>
  <rcc rId="795" sId="3">
    <oc r="H10" t="b">
      <v>0</v>
    </oc>
    <nc r="H10" t="b">
      <v>1</v>
    </nc>
  </rcc>
  <rcc rId="796" sId="3">
    <oc r="H11" t="b">
      <v>0</v>
    </oc>
    <nc r="H11" t="b">
      <v>1</v>
    </nc>
  </rcc>
  <rcc rId="797" sId="3">
    <oc r="H12" t="b">
      <v>0</v>
    </oc>
    <nc r="H12" t="b">
      <v>1</v>
    </nc>
  </rcc>
  <rcc rId="798" sId="3">
    <oc r="H13" t="b">
      <v>0</v>
    </oc>
    <nc r="H13" t="b">
      <v>1</v>
    </nc>
  </rcc>
  <rcc rId="799" sId="3">
    <oc r="H14" t="b">
      <v>0</v>
    </oc>
    <nc r="H14" t="b">
      <v>1</v>
    </nc>
  </rcc>
  <rcc rId="800" sId="3">
    <oc r="H15" t="b">
      <v>0</v>
    </oc>
    <nc r="H15" t="b">
      <v>1</v>
    </nc>
  </rcc>
  <rcc rId="801" sId="3">
    <oc r="H16" t="b">
      <v>0</v>
    </oc>
    <nc r="H16" t="b">
      <v>1</v>
    </nc>
  </rcc>
  <rcc rId="802" sId="3">
    <oc r="H17" t="b">
      <v>0</v>
    </oc>
    <nc r="H17" t="b">
      <v>1</v>
    </nc>
  </rcc>
  <rcc rId="803" sId="3">
    <oc r="B16" t="inlineStr">
      <is>
        <t>M3 x 0.5 x 6 Butten Head Screws</t>
      </is>
    </oc>
    <nc r="B16" t="inlineStr">
      <is>
        <t>M3 x 0.5 x 6 Button Head Screws</t>
      </is>
    </nc>
  </rcc>
  <rcc rId="804" sId="3">
    <oc r="B13" t="inlineStr">
      <is>
        <t>M4 x 0.7 x 12  Butten Head Screws</t>
      </is>
    </oc>
    <nc r="B13" t="inlineStr">
      <is>
        <t>M4 x 0.7 x 12  Button Head Screws</t>
      </is>
    </nc>
  </rcc>
  <rcc rId="805" sId="3">
    <oc r="B14" t="inlineStr">
      <is>
        <t>M3 x 0.5 x 10 Butten Head Screws</t>
      </is>
    </oc>
    <nc r="B14" t="inlineStr">
      <is>
        <t>M3 x 0.5 x 10 Button Head Screws</t>
      </is>
    </nc>
  </rcc>
  <rcc rId="806" sId="3">
    <oc r="B15" t="inlineStr">
      <is>
        <t>M3 x 0.5 x 8 Butten Head Screws</t>
      </is>
    </oc>
    <nc r="B15" t="inlineStr">
      <is>
        <t>M3 x 0.5 x 8 Button Head Screws</t>
      </is>
    </nc>
  </rcc>
  <rcc rId="807" sId="3">
    <oc r="B17" t="inlineStr">
      <is>
        <t>M2 x 16 Slotted Pan Head Screw</t>
      </is>
    </oc>
    <nc r="B17" t="inlineStr">
      <is>
        <t>M2 x 0.4 x 16 Slotted Pan Head Screw</t>
      </is>
    </nc>
  </rcc>
  <rcc rId="808" sId="3">
    <oc r="H18" t="b">
      <v>0</v>
    </oc>
    <nc r="H18" t="b">
      <v>1</v>
    </nc>
  </rcc>
  <rcc rId="809" sId="3">
    <oc r="H19" t="b">
      <v>0</v>
    </oc>
    <nc r="H19" t="b">
      <v>1</v>
    </nc>
  </rcc>
  <rcc rId="810" sId="3">
    <oc r="H20" t="b">
      <v>0</v>
    </oc>
    <nc r="H20" t="b">
      <v>1</v>
    </nc>
  </rcc>
  <rcc rId="811" sId="3">
    <oc r="H21" t="b">
      <v>0</v>
    </oc>
    <nc r="H21" t="b">
      <v>1</v>
    </nc>
  </rcc>
  <rcc rId="812" sId="3">
    <oc r="H23" t="b">
      <v>0</v>
    </oc>
    <nc r="H23" t="b">
      <v>1</v>
    </nc>
  </rcc>
  <rcc rId="813" sId="3">
    <oc r="H22" t="b">
      <v>0</v>
    </oc>
    <nc r="H22" t="b">
      <v>1</v>
    </nc>
  </rcc>
  <rcc rId="814" sId="3">
    <oc r="H24" t="b">
      <v>0</v>
    </oc>
    <nc r="H24" t="b">
      <v>1</v>
    </nc>
  </rcc>
  <rcc rId="815" sId="3">
    <oc r="B19" t="inlineStr">
      <is>
        <t>M4 x 0.7 x 10 Rivet Nuts</t>
      </is>
    </oc>
    <nc r="B19" t="inlineStr">
      <is>
        <t>M4 x 0.7 x 9.2 Rivet Nuts</t>
      </is>
    </nc>
  </rcc>
  <rcc rId="816" sId="3">
    <nc r="C12" t="inlineStr">
      <is>
        <t>Polypropylene</t>
      </is>
    </nc>
  </rcc>
  <rcc rId="817" sId="3">
    <nc r="C24" t="inlineStr">
      <is>
        <t>Silicone Rubber</t>
      </is>
    </nc>
  </rcc>
  <rcc rId="818" sId="3" xfDxf="1" dxf="1">
    <nc r="C25" t="inlineStr">
      <is>
        <t>PVC Foam Tape</t>
      </is>
    </nc>
    <ndxf>
      <font>
        <sz val="12"/>
        <name val="Times New Roman"/>
        <family val="1"/>
        <scheme val="none"/>
      </font>
      <alignment horizontal="justify" vertical="center" wrapText="1"/>
      <border outline="0">
        <right style="medium">
          <color rgb="FFBFBFBF"/>
        </right>
        <bottom style="medium">
          <color rgb="FFBFBFBF"/>
        </bottom>
      </border>
    </ndxf>
  </rcc>
  <rcc rId="819" sId="3">
    <nc r="C26" t="inlineStr">
      <is>
        <t>PVC Foam Tape</t>
      </is>
    </nc>
  </rcc>
  <rcc rId="820" sId="3">
    <nc r="C27" t="inlineStr">
      <is>
        <t>Built into bought product</t>
      </is>
    </nc>
  </rcc>
  <rcc rId="821" sId="3">
    <nc r="C29" t="inlineStr">
      <is>
        <t>Velcro</t>
      </is>
    </nc>
  </rcc>
  <rcc rId="822" sId="3">
    <nc r="C28" t="inlineStr">
      <is>
        <t>also built in</t>
      </is>
    </nc>
  </rcc>
  <rcv guid="{5F732A23-763A-43CE-844F-98E769D3D5C8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" sId="3">
    <oc r="H25" t="b">
      <v>0</v>
    </oc>
    <nc r="H25" t="b">
      <v>1</v>
    </nc>
  </rcc>
  <rcc rId="824" sId="3">
    <oc r="H26" t="b">
      <v>0</v>
    </oc>
    <nc r="H26" t="b">
      <v>1</v>
    </nc>
  </rcc>
  <rcc rId="825" sId="3">
    <oc r="H27" t="b">
      <v>0</v>
    </oc>
    <nc r="H27" t="b">
      <v>1</v>
    </nc>
  </rcc>
  <rcc rId="826" sId="3">
    <oc r="H28" t="b">
      <v>0</v>
    </oc>
    <nc r="H28" t="b">
      <v>1</v>
    </nc>
  </rcc>
  <rcc rId="827" sId="3">
    <oc r="H29" t="b">
      <v>0</v>
    </oc>
    <nc r="H29" t="b">
      <v>1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8" sId="3">
    <oc r="C28" t="inlineStr">
      <is>
        <t>also built in</t>
      </is>
    </oc>
    <nc r="C28" t="inlineStr">
      <is>
        <t>PVC Foam Tape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829" sheetId="4" name="[mech_bom.xlsx]BOM_elec" sheetPosition="3"/>
  <rcv guid="{85B28F95-3488-41DC-90A4-160F98D9658E}" action="delete"/>
  <rcv guid="{85B28F95-3488-41DC-90A4-160F98D9658E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4" start="0" length="0">
    <dxf>
      <font>
        <sz val="12"/>
        <color rgb="FF000000"/>
        <name val="Times New Roman"/>
        <family val="1"/>
        <scheme val="none"/>
      </font>
    </dxf>
  </rfmt>
  <rfmt sheetId="4" sqref="B5" start="0" length="0">
    <dxf>
      <font>
        <sz val="12"/>
        <color rgb="FF000000"/>
        <name val="Times New Roman"/>
        <family val="1"/>
        <scheme val="none"/>
      </font>
    </dxf>
  </rfmt>
  <rfmt sheetId="4" sqref="B6" start="0" length="0">
    <dxf>
      <font>
        <sz val="12"/>
        <color rgb="FF000000"/>
        <name val="Times New Roman"/>
        <family val="1"/>
        <scheme val="none"/>
      </font>
    </dxf>
  </rfmt>
  <rfmt sheetId="4" sqref="B7" start="0" length="0">
    <dxf>
      <font>
        <sz val="12"/>
        <color rgb="FF000000"/>
        <name val="Times New Roman"/>
        <family val="1"/>
        <scheme val="none"/>
      </font>
    </dxf>
  </rfmt>
  <rfmt sheetId="4" sqref="B8" start="0" length="0">
    <dxf>
      <font>
        <sz val="12"/>
        <color rgb="FF000000"/>
        <name val="Times New Roman"/>
        <family val="1"/>
        <scheme val="none"/>
      </font>
    </dxf>
  </rfmt>
  <rfmt sheetId="4" sqref="B9" start="0" length="0">
    <dxf>
      <font>
        <sz val="12"/>
        <color rgb="FF000000"/>
        <name val="Times New Roman"/>
        <family val="1"/>
        <scheme val="none"/>
      </font>
    </dxf>
  </rfmt>
  <rfmt sheetId="4" sqref="B10" start="0" length="0">
    <dxf>
      <font>
        <sz val="12"/>
        <color rgb="FF000000"/>
        <name val="Times New Roman"/>
        <family val="1"/>
        <scheme val="none"/>
      </font>
    </dxf>
  </rfmt>
  <rfmt sheetId="4" sqref="B11" start="0" length="0">
    <dxf>
      <font>
        <sz val="12"/>
        <color rgb="FF000000"/>
        <name val="Times New Roman"/>
        <family val="1"/>
        <scheme val="none"/>
      </font>
    </dxf>
  </rfmt>
  <rfmt sheetId="4" sqref="B12" start="0" length="0">
    <dxf>
      <font>
        <sz val="12"/>
        <color rgb="FF000000"/>
        <name val="Times New Roman"/>
        <family val="1"/>
        <scheme val="none"/>
      </font>
    </dxf>
  </rfmt>
  <rfmt sheetId="4" sqref="B13" start="0" length="0">
    <dxf>
      <font>
        <sz val="12"/>
        <color rgb="FF000000"/>
        <name val="Times New Roman"/>
        <family val="1"/>
        <scheme val="none"/>
      </font>
    </dxf>
  </rfmt>
  <rfmt sheetId="4" sqref="B14" start="0" length="0">
    <dxf>
      <font>
        <sz val="12"/>
        <color rgb="FF000000"/>
        <name val="Times New Roman"/>
        <family val="1"/>
        <scheme val="none"/>
      </font>
    </dxf>
  </rfmt>
  <rfmt sheetId="4" sqref="B15" start="0" length="0">
    <dxf>
      <font>
        <sz val="12"/>
        <color rgb="FF000000"/>
        <name val="Times New Roman"/>
        <family val="1"/>
        <scheme val="none"/>
      </font>
    </dxf>
  </rfmt>
  <rfmt sheetId="4" sqref="A19" start="0" length="0">
    <dxf>
      <font>
        <sz val="10"/>
        <color rgb="FF000000"/>
        <name val="Times New Roman"/>
        <family val="1"/>
        <scheme val="none"/>
      </font>
    </dxf>
  </rfmt>
  <rfmt sheetId="4" sqref="D87" start="0" length="0">
    <dxf>
      <font>
        <sz val="12"/>
        <color rgb="FF000000"/>
        <name val="Times New Roman"/>
        <family val="1"/>
        <scheme val="none"/>
      </font>
    </dxf>
  </rfmt>
  <rfmt sheetId="4" sqref="A17" start="0" length="0">
    <dxf>
      <border outline="0">
        <left/>
        <right/>
        <bottom/>
      </border>
    </dxf>
  </rfmt>
  <rfmt sheetId="4" sqref="C17" start="0" length="0">
    <dxf>
      <border outline="0">
        <right/>
        <bottom/>
      </border>
    </dxf>
  </rfmt>
  <rfmt sheetId="4" sqref="D17" start="0" length="0">
    <dxf>
      <border outline="0">
        <right/>
        <bottom/>
      </border>
    </dxf>
  </rfmt>
  <rfmt sheetId="4" sqref="C19" start="0" length="0">
    <dxf>
      <border outline="0">
        <right/>
        <bottom/>
      </border>
    </dxf>
  </rfmt>
  <rfmt sheetId="4" sqref="D19" start="0" length="0">
    <dxf>
      <border outline="0">
        <right/>
        <bottom/>
      </border>
    </dxf>
  </rfmt>
  <rfmt sheetId="4" sqref="A21" start="0" length="0">
    <dxf>
      <border outline="0">
        <left/>
        <right/>
        <bottom/>
      </border>
    </dxf>
  </rfmt>
  <rfmt sheetId="4" sqref="C21" start="0" length="0">
    <dxf>
      <border outline="0">
        <right/>
        <bottom/>
      </border>
    </dxf>
  </rfmt>
  <rfmt sheetId="4" sqref="D21" start="0" length="0">
    <dxf>
      <border outline="0">
        <right/>
        <bottom/>
      </border>
    </dxf>
  </rfmt>
  <rfmt sheetId="4" sqref="A25" start="0" length="0">
    <dxf>
      <border outline="0">
        <left/>
        <right/>
        <bottom/>
      </border>
    </dxf>
  </rfmt>
  <rfmt sheetId="4" sqref="C25" start="0" length="0">
    <dxf>
      <border outline="0">
        <right/>
        <bottom/>
      </border>
    </dxf>
  </rfmt>
  <rfmt sheetId="4" sqref="D25" start="0" length="0">
    <dxf>
      <border outline="0">
        <right/>
        <bottom/>
      </border>
    </dxf>
  </rfmt>
  <rfmt sheetId="4" sqref="A27" start="0" length="0">
    <dxf>
      <border outline="0">
        <left/>
        <right/>
        <bottom/>
      </border>
    </dxf>
  </rfmt>
  <rfmt sheetId="4" sqref="C27" start="0" length="0">
    <dxf>
      <border outline="0">
        <right/>
        <bottom/>
      </border>
    </dxf>
  </rfmt>
  <rfmt sheetId="4" sqref="D27" start="0" length="0">
    <dxf>
      <border outline="0">
        <right/>
        <bottom/>
      </border>
    </dxf>
  </rfmt>
  <rfmt sheetId="4" sqref="A29" start="0" length="0">
    <dxf>
      <border outline="0">
        <left/>
        <right/>
        <bottom/>
      </border>
    </dxf>
  </rfmt>
  <rfmt sheetId="4" sqref="C29" start="0" length="0">
    <dxf>
      <border outline="0">
        <right/>
        <bottom/>
      </border>
    </dxf>
  </rfmt>
  <rfmt sheetId="4" sqref="D29" start="0" length="0">
    <dxf>
      <border outline="0">
        <right/>
        <bottom/>
      </border>
    </dxf>
  </rfmt>
  <rfmt sheetId="4" sqref="A31" start="0" length="0">
    <dxf>
      <border outline="0">
        <left/>
        <right/>
        <bottom/>
      </border>
    </dxf>
  </rfmt>
  <rfmt sheetId="4" sqref="C31" start="0" length="0">
    <dxf>
      <border outline="0">
        <right/>
        <bottom/>
      </border>
    </dxf>
  </rfmt>
  <rfmt sheetId="4" sqref="D31" start="0" length="0">
    <dxf>
      <border outline="0">
        <right/>
        <bottom/>
      </border>
    </dxf>
  </rfmt>
  <rfmt sheetId="4" sqref="A35" start="0" length="0">
    <dxf>
      <border outline="0">
        <left/>
        <right/>
        <bottom/>
      </border>
    </dxf>
  </rfmt>
  <rfmt sheetId="4" sqref="C35" start="0" length="0">
    <dxf>
      <border outline="0">
        <right/>
        <bottom/>
      </border>
    </dxf>
  </rfmt>
  <rfmt sheetId="4" sqref="D35" start="0" length="0">
    <dxf>
      <border outline="0">
        <right/>
        <bottom/>
      </border>
    </dxf>
  </rfmt>
  <rfmt sheetId="4" sqref="A37" start="0" length="0">
    <dxf>
      <border outline="0">
        <left/>
        <right/>
        <bottom/>
      </border>
    </dxf>
  </rfmt>
  <rfmt sheetId="4" sqref="C37" start="0" length="0">
    <dxf>
      <border outline="0">
        <right/>
        <bottom/>
      </border>
    </dxf>
  </rfmt>
  <rfmt sheetId="4" sqref="D37" start="0" length="0">
    <dxf>
      <border outline="0">
        <right/>
        <bottom/>
      </border>
    </dxf>
  </rfmt>
  <rfmt sheetId="4" sqref="A39" start="0" length="0">
    <dxf>
      <border outline="0">
        <left/>
        <right/>
        <bottom/>
      </border>
    </dxf>
  </rfmt>
  <rfmt sheetId="4" sqref="C39" start="0" length="0">
    <dxf>
      <border outline="0">
        <right/>
        <bottom/>
      </border>
    </dxf>
  </rfmt>
  <rfmt sheetId="4" sqref="D39" start="0" length="0">
    <dxf>
      <border outline="0">
        <right/>
        <bottom/>
      </border>
    </dxf>
  </rfmt>
  <rfmt sheetId="4" sqref="A41" start="0" length="0">
    <dxf>
      <border outline="0">
        <left/>
        <right/>
        <bottom/>
      </border>
    </dxf>
  </rfmt>
  <rfmt sheetId="4" sqref="C41" start="0" length="0">
    <dxf>
      <border outline="0">
        <right/>
        <bottom/>
      </border>
    </dxf>
  </rfmt>
  <rfmt sheetId="4" sqref="D41" start="0" length="0">
    <dxf>
      <border outline="0">
        <right/>
        <bottom/>
      </border>
    </dxf>
  </rfmt>
  <rfmt sheetId="4" sqref="A43" start="0" length="0">
    <dxf>
      <border outline="0">
        <left/>
        <right/>
        <bottom/>
      </border>
    </dxf>
  </rfmt>
  <rfmt sheetId="4" sqref="C43" start="0" length="0">
    <dxf>
      <border outline="0">
        <right/>
        <bottom/>
      </border>
    </dxf>
  </rfmt>
  <rfmt sheetId="4" sqref="D43" start="0" length="0">
    <dxf>
      <border outline="0">
        <right/>
        <bottom/>
      </border>
    </dxf>
  </rfmt>
  <rfmt sheetId="4" sqref="A45" start="0" length="0">
    <dxf>
      <border outline="0">
        <left/>
        <right/>
        <bottom/>
      </border>
    </dxf>
  </rfmt>
  <rfmt sheetId="4" sqref="C45" start="0" length="0">
    <dxf>
      <border outline="0">
        <right/>
        <bottom/>
      </border>
    </dxf>
  </rfmt>
  <rfmt sheetId="4" sqref="D45" start="0" length="0">
    <dxf>
      <border outline="0">
        <right/>
        <bottom/>
      </border>
    </dxf>
  </rfmt>
  <rfmt sheetId="4" sqref="A47" start="0" length="0">
    <dxf>
      <border outline="0">
        <left/>
        <right/>
        <bottom/>
      </border>
    </dxf>
  </rfmt>
  <rfmt sheetId="4" sqref="C47" start="0" length="0">
    <dxf>
      <border outline="0">
        <right/>
        <bottom/>
      </border>
    </dxf>
  </rfmt>
  <rfmt sheetId="4" sqref="D47" start="0" length="0">
    <dxf>
      <border outline="0">
        <right/>
        <bottom/>
      </border>
    </dxf>
  </rfmt>
  <rfmt sheetId="4" sqref="A50" start="0" length="0">
    <dxf>
      <border outline="0">
        <left/>
        <right/>
        <bottom/>
      </border>
    </dxf>
  </rfmt>
  <rfmt sheetId="4" sqref="C50" start="0" length="0">
    <dxf>
      <border outline="0">
        <right/>
        <bottom/>
      </border>
    </dxf>
  </rfmt>
  <rfmt sheetId="4" sqref="D50" start="0" length="0">
    <dxf>
      <border outline="0">
        <right/>
        <bottom/>
      </border>
    </dxf>
  </rfmt>
  <rfmt sheetId="4" sqref="A53" start="0" length="0">
    <dxf>
      <border outline="0">
        <left/>
        <right/>
        <bottom/>
      </border>
    </dxf>
  </rfmt>
  <rfmt sheetId="4" sqref="C53" start="0" length="0">
    <dxf>
      <border outline="0">
        <right/>
        <bottom/>
      </border>
    </dxf>
  </rfmt>
  <rfmt sheetId="4" sqref="D53" start="0" length="0">
    <dxf>
      <border outline="0">
        <right/>
        <bottom/>
      </border>
    </dxf>
  </rfmt>
  <rfmt sheetId="4" sqref="A55" start="0" length="0">
    <dxf>
      <border outline="0">
        <left/>
        <right/>
        <bottom/>
      </border>
    </dxf>
  </rfmt>
  <rfmt sheetId="4" sqref="C55" start="0" length="0">
    <dxf>
      <border outline="0">
        <right/>
        <bottom/>
      </border>
    </dxf>
  </rfmt>
  <rfmt sheetId="4" sqref="D55" start="0" length="0">
    <dxf>
      <border outline="0">
        <right/>
        <bottom/>
      </border>
    </dxf>
  </rfmt>
  <rfmt sheetId="4" sqref="A58" start="0" length="0">
    <dxf>
      <border outline="0">
        <left/>
        <right/>
        <bottom/>
      </border>
    </dxf>
  </rfmt>
  <rfmt sheetId="4" sqref="C58" start="0" length="0">
    <dxf>
      <border outline="0">
        <right/>
        <bottom/>
      </border>
    </dxf>
  </rfmt>
  <rfmt sheetId="4" sqref="D58" start="0" length="0">
    <dxf>
      <border outline="0">
        <right/>
        <bottom/>
      </border>
    </dxf>
  </rfmt>
  <rfmt sheetId="4" sqref="A61" start="0" length="0">
    <dxf>
      <border outline="0">
        <left/>
        <right/>
        <bottom/>
      </border>
    </dxf>
  </rfmt>
  <rfmt sheetId="4" sqref="C61" start="0" length="0">
    <dxf>
      <border outline="0">
        <right/>
        <bottom/>
      </border>
    </dxf>
  </rfmt>
  <rfmt sheetId="4" sqref="D61" start="0" length="0">
    <dxf>
      <border outline="0">
        <right/>
        <bottom/>
      </border>
    </dxf>
  </rfmt>
  <rfmt sheetId="4" sqref="A64" start="0" length="0">
    <dxf>
      <border outline="0">
        <left/>
        <right/>
        <bottom/>
      </border>
    </dxf>
  </rfmt>
  <rfmt sheetId="4" sqref="C64" start="0" length="0">
    <dxf>
      <border outline="0">
        <right/>
        <bottom/>
      </border>
    </dxf>
  </rfmt>
  <rfmt sheetId="4" sqref="D64" start="0" length="0">
    <dxf>
      <border outline="0">
        <right/>
        <bottom/>
      </border>
    </dxf>
  </rfmt>
  <rfmt sheetId="4" sqref="A66" start="0" length="0">
    <dxf>
      <border outline="0">
        <left/>
        <right/>
        <bottom/>
      </border>
    </dxf>
  </rfmt>
  <rfmt sheetId="4" sqref="C66" start="0" length="0">
    <dxf>
      <border outline="0">
        <right/>
        <bottom/>
      </border>
    </dxf>
  </rfmt>
  <rfmt sheetId="4" sqref="D66" start="0" length="0">
    <dxf>
      <border outline="0">
        <right/>
        <bottom/>
      </border>
    </dxf>
  </rfmt>
  <rfmt sheetId="4" sqref="A68" start="0" length="0">
    <dxf>
      <border outline="0">
        <left/>
        <right/>
        <bottom/>
      </border>
    </dxf>
  </rfmt>
  <rfmt sheetId="4" sqref="C68" start="0" length="0">
    <dxf>
      <border outline="0">
        <right/>
        <bottom/>
      </border>
    </dxf>
  </rfmt>
  <rfmt sheetId="4" sqref="D68" start="0" length="0">
    <dxf>
      <border outline="0">
        <right/>
        <bottom/>
      </border>
    </dxf>
  </rfmt>
  <rfmt sheetId="4" sqref="A70" start="0" length="0">
    <dxf>
      <border outline="0">
        <left/>
        <right/>
        <bottom/>
      </border>
    </dxf>
  </rfmt>
  <rfmt sheetId="4" sqref="C70" start="0" length="0">
    <dxf>
      <border outline="0">
        <right/>
        <bottom/>
      </border>
    </dxf>
  </rfmt>
  <rfmt sheetId="4" sqref="D70" start="0" length="0">
    <dxf>
      <border outline="0">
        <right/>
        <bottom/>
      </border>
    </dxf>
  </rfmt>
  <rfmt sheetId="4" sqref="A78" start="0" length="0">
    <dxf>
      <border outline="0">
        <left/>
        <right/>
        <bottom/>
      </border>
    </dxf>
  </rfmt>
  <rfmt sheetId="4" sqref="C78" start="0" length="0">
    <dxf>
      <border outline="0">
        <right/>
        <bottom/>
      </border>
    </dxf>
  </rfmt>
  <rfmt sheetId="4" sqref="D78" start="0" length="0">
    <dxf>
      <border outline="0">
        <right/>
        <bottom/>
      </border>
    </dxf>
  </rfmt>
  <rfmt sheetId="4" sqref="A80" start="0" length="0">
    <dxf>
      <border outline="0">
        <left/>
        <right/>
        <bottom/>
      </border>
    </dxf>
  </rfmt>
  <rfmt sheetId="4" sqref="C80" start="0" length="0">
    <dxf>
      <border outline="0">
        <right/>
        <bottom/>
      </border>
    </dxf>
  </rfmt>
  <rfmt sheetId="4" sqref="D80" start="0" length="0">
    <dxf>
      <border outline="0">
        <right/>
        <bottom/>
      </border>
    </dxf>
  </rfmt>
  <rfmt sheetId="4" sqref="A82" start="0" length="0">
    <dxf>
      <border outline="0">
        <left/>
        <right/>
        <bottom/>
      </border>
    </dxf>
  </rfmt>
  <rfmt sheetId="4" sqref="C82" start="0" length="0">
    <dxf>
      <border outline="0">
        <right/>
        <bottom/>
      </border>
    </dxf>
  </rfmt>
  <rfmt sheetId="4" sqref="D82" start="0" length="0">
    <dxf>
      <border outline="0">
        <right/>
        <bottom/>
      </border>
    </dxf>
  </rfmt>
  <rfmt sheetId="4" sqref="A85" start="0" length="0">
    <dxf>
      <border outline="0">
        <left/>
        <right/>
        <bottom/>
      </border>
    </dxf>
  </rfmt>
  <rfmt sheetId="4" sqref="C85" start="0" length="0">
    <dxf>
      <border outline="0">
        <right/>
        <bottom/>
      </border>
    </dxf>
  </rfmt>
  <rfmt sheetId="4" sqref="D85" start="0" length="0">
    <dxf>
      <border outline="0">
        <right/>
        <bottom/>
      </border>
    </dxf>
  </rfmt>
  <rfmt sheetId="4" sqref="C89" start="0" length="0">
    <dxf>
      <border outline="0">
        <right/>
        <bottom/>
      </border>
    </dxf>
  </rfmt>
  <rfmt sheetId="4" sqref="D89" start="0" length="0">
    <dxf>
      <border outline="0">
        <right/>
        <bottom/>
      </border>
    </dxf>
  </rfmt>
  <rfmt sheetId="4" sqref="B91" start="0" length="0">
    <dxf>
      <border outline="0">
        <right/>
        <bottom/>
      </border>
    </dxf>
  </rfmt>
  <rfmt sheetId="4" sqref="C91" start="0" length="0">
    <dxf>
      <border outline="0">
        <right/>
        <bottom/>
      </border>
    </dxf>
  </rfmt>
  <rfmt sheetId="4" sqref="D91" start="0" length="0">
    <dxf>
      <border outline="0">
        <right/>
        <bottom/>
      </border>
    </dxf>
  </rfmt>
  <rfmt sheetId="4" sqref="C93" start="0" length="0">
    <dxf>
      <border outline="0">
        <right/>
        <bottom/>
      </border>
    </dxf>
  </rfmt>
  <rfmt sheetId="4" sqref="D93" start="0" length="0">
    <dxf>
      <border outline="0">
        <right/>
        <bottom/>
      </border>
    </dxf>
  </rfmt>
  <rfmt sheetId="4" sqref="C95" start="0" length="0">
    <dxf>
      <border outline="0">
        <right/>
        <bottom/>
      </border>
    </dxf>
  </rfmt>
  <rfmt sheetId="4" sqref="D95" start="0" length="0">
    <dxf>
      <border outline="0">
        <right/>
        <bottom/>
      </border>
    </dxf>
  </rfmt>
  <rfmt sheetId="4" sqref="C97" start="0" length="0">
    <dxf>
      <border outline="0">
        <right/>
        <bottom/>
      </border>
    </dxf>
  </rfmt>
  <rfmt sheetId="4" sqref="D97" start="0" length="0">
    <dxf>
      <border outline="0">
        <right/>
        <bottom/>
      </border>
    </dxf>
  </rfmt>
  <rfmt sheetId="4" sqref="A99" start="0" length="0">
    <dxf>
      <border outline="0">
        <left/>
        <right/>
        <bottom/>
      </border>
    </dxf>
  </rfmt>
  <rfmt sheetId="4" sqref="C99" start="0" length="0">
    <dxf>
      <border outline="0">
        <right/>
        <bottom/>
      </border>
    </dxf>
  </rfmt>
  <rfmt sheetId="4" sqref="D99" start="0" length="0">
    <dxf>
      <border outline="0">
        <right/>
        <bottom/>
      </border>
    </dxf>
  </rfmt>
  <rfmt sheetId="4" sqref="A101" start="0" length="0">
    <dxf>
      <border outline="0">
        <left/>
        <right/>
        <bottom/>
      </border>
    </dxf>
  </rfmt>
  <rfmt sheetId="4" sqref="C101" start="0" length="0">
    <dxf>
      <border outline="0">
        <right/>
        <bottom/>
      </border>
    </dxf>
  </rfmt>
  <rfmt sheetId="4" sqref="D101" start="0" length="0">
    <dxf>
      <border outline="0">
        <right/>
        <bottom/>
      </border>
    </dxf>
  </rfmt>
  <rfmt sheetId="4" sqref="A103" start="0" length="0">
    <dxf>
      <border outline="0">
        <left/>
        <right/>
        <bottom/>
      </border>
    </dxf>
  </rfmt>
  <rfmt sheetId="4" sqref="C103" start="0" length="0">
    <dxf>
      <border outline="0">
        <right/>
        <bottom/>
      </border>
    </dxf>
  </rfmt>
  <rfmt sheetId="4" sqref="D103" start="0" length="0">
    <dxf>
      <border outline="0">
        <right/>
        <bottom/>
      </border>
    </dxf>
  </rfmt>
  <rfmt sheetId="4" sqref="A105" start="0" length="0">
    <dxf>
      <border outline="0">
        <left/>
        <right/>
        <bottom/>
      </border>
    </dxf>
  </rfmt>
  <rfmt sheetId="4" sqref="C105" start="0" length="0">
    <dxf>
      <border outline="0">
        <right/>
        <bottom/>
      </border>
    </dxf>
  </rfmt>
  <rfmt sheetId="4" sqref="D105" start="0" length="0">
    <dxf>
      <border outline="0">
        <right/>
        <bottom/>
      </border>
    </dxf>
  </rfmt>
  <rfmt sheetId="4" sqref="A107" start="0" length="0">
    <dxf>
      <border outline="0">
        <left/>
        <right/>
        <bottom/>
      </border>
    </dxf>
  </rfmt>
  <rfmt sheetId="4" sqref="C107" start="0" length="0">
    <dxf>
      <border outline="0">
        <right/>
        <bottom/>
      </border>
    </dxf>
  </rfmt>
  <rfmt sheetId="4" sqref="D107" start="0" length="0">
    <dxf>
      <border outline="0">
        <right/>
        <bottom/>
      </border>
    </dxf>
  </rfmt>
  <rfmt sheetId="4" sqref="A109" start="0" length="0">
    <dxf>
      <border outline="0">
        <left/>
        <right/>
        <bottom/>
      </border>
    </dxf>
  </rfmt>
  <rfmt sheetId="4" sqref="C109" start="0" length="0">
    <dxf>
      <border outline="0">
        <right/>
        <bottom/>
      </border>
    </dxf>
  </rfmt>
  <rfmt sheetId="4" sqref="D109" start="0" length="0">
    <dxf>
      <border outline="0">
        <right/>
        <bottom/>
      </border>
    </dxf>
  </rfmt>
  <rfmt sheetId="4" sqref="A111" start="0" length="0">
    <dxf>
      <border outline="0">
        <left/>
        <right/>
        <bottom/>
      </border>
    </dxf>
  </rfmt>
  <rfmt sheetId="4" sqref="C111" start="0" length="0">
    <dxf>
      <border outline="0">
        <right/>
        <bottom/>
      </border>
    </dxf>
  </rfmt>
  <rfmt sheetId="4" sqref="D111" start="0" length="0">
    <dxf>
      <border outline="0">
        <right/>
        <bottom/>
      </border>
    </dxf>
  </rfmt>
  <rfmt sheetId="4" sqref="A112" start="0" length="0">
    <dxf>
      <font>
        <sz val="8"/>
        <color theme="1"/>
        <name val="Times New Roman"/>
        <family val="1"/>
        <scheme val="none"/>
      </font>
    </dxf>
  </rfmt>
  <rcc rId="830" sId="4" xfDxf="1" dxf="1">
    <nc r="A2" t="inlineStr">
      <is>
        <t>BT1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831" sId="4" xfDxf="1" dxf="1">
    <nc r="B2" t="inlineStr">
      <is>
        <t>Battery Terminal (XT90PW)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832" sId="4" xfDxf="1" dxf="1">
    <nc r="C2" t="inlineStr">
      <is>
        <t>AMASS</t>
      </is>
    </nc>
    <ndxf>
      <font>
        <b/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833" sId="4" xfDxf="1" dxf="1">
    <nc r="D2">
      <v>1</v>
    </nc>
    <ndxf>
      <font>
        <b/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top style="medium">
          <color rgb="FFBFBFBF"/>
        </top>
        <bottom style="medium">
          <color rgb="FFBFBFBF"/>
        </bottom>
      </border>
    </ndxf>
  </rcc>
  <rcc rId="834" sId="4" xfDxf="1" dxf="1">
    <nc r="A3" t="inlineStr">
      <is>
        <t>C1, C23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35" sId="4" xfDxf="1" dxf="1">
    <nc r="B3" t="inlineStr">
      <is>
        <t>Voltage Blocking Capacitor (ECA-1HM101B)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36" sId="4" xfDxf="1" dxf="1">
    <nc r="C3" t="inlineStr">
      <is>
        <t>Panasonic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37" sId="4" xfDxf="1" dxf="1">
    <nc r="D3">
      <v>2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38" sId="4" xfDxf="1" dxf="1">
    <nc r="A4" t="inlineStr">
      <is>
        <t>C2, C4, C5, C6, C8, C10, C13, C15, C19, C20, C27, C33, C40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39" sId="4" xfDxf="1" dxf="1">
    <nc r="B4" t="inlineStr">
      <is>
        <r>
          <t>Decoupling Capacitor (</t>
        </r>
        <r>
          <rPr>
            <sz val="10"/>
            <color rgb="FF000000"/>
            <rFont val="Times New Roman"/>
            <family val="1"/>
          </rPr>
          <t>GRT21BR71H104KE01L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40" sId="4" xfDxf="1" dxf="1">
    <nc r="C4" t="inlineStr">
      <is>
        <t>Murata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41" sId="4" xfDxf="1" dxf="1">
    <nc r="D4">
      <v>13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42" sId="4" xfDxf="1" dxf="1">
    <nc r="A5" t="inlineStr">
      <is>
        <t>C3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43" sId="4" xfDxf="1" dxf="1">
    <nc r="B5" t="inlineStr">
      <is>
        <r>
          <t>Filter Capacitor (</t>
        </r>
        <r>
          <rPr>
            <sz val="10"/>
            <color rgb="FF000000"/>
            <rFont val="Times New Roman"/>
            <family val="1"/>
          </rPr>
          <t>GRM21BR71C105KA01K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44" sId="4" xfDxf="1" dxf="1">
    <nc r="C5" t="inlineStr">
      <is>
        <t>Murata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45" sId="4" xfDxf="1" dxf="1">
    <nc r="D5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46" sId="4" xfDxf="1" dxf="1">
    <nc r="A6" t="inlineStr">
      <is>
        <t>C7, C9, C11, C12, C24, C25, C26, C28, C34, C35, C37, C41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47" sId="4" xfDxf="1" dxf="1">
    <nc r="B6" t="inlineStr">
      <is>
        <r>
          <t>Decoupling Capacitor (</t>
        </r>
        <r>
          <rPr>
            <sz val="10"/>
            <color rgb="FF000000"/>
            <rFont val="Times New Roman"/>
            <family val="1"/>
          </rPr>
          <t>GCJ31CR71C106KA15K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48" sId="4" xfDxf="1" dxf="1">
    <nc r="C6" t="inlineStr">
      <is>
        <t>Murata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49" sId="4" xfDxf="1" dxf="1">
    <nc r="D6">
      <v>12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50" sId="4" xfDxf="1" dxf="1">
    <nc r="A7" t="inlineStr">
      <is>
        <t>C14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51" sId="4" xfDxf="1" dxf="1">
    <nc r="B7" t="inlineStr">
      <is>
        <r>
          <t>Filter Capacitor (</t>
        </r>
        <r>
          <rPr>
            <sz val="10"/>
            <color rgb="FF000000"/>
            <rFont val="Times New Roman"/>
            <family val="1"/>
          </rPr>
          <t>GCM21BR71C335KA73L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52" sId="4" xfDxf="1" dxf="1">
    <nc r="C7" t="inlineStr">
      <is>
        <t>Murata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53" sId="4" xfDxf="1" dxf="1">
    <nc r="D7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54" sId="4" xfDxf="1" dxf="1">
    <nc r="A8" t="inlineStr">
      <is>
        <t>C16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55" sId="4" xfDxf="1" dxf="1">
    <nc r="B8" t="inlineStr">
      <is>
        <r>
          <t>Filter Capacitor (</t>
        </r>
        <r>
          <rPr>
            <sz val="10"/>
            <color rgb="FF000000"/>
            <rFont val="Times New Roman"/>
            <family val="1"/>
          </rPr>
          <t>GRM21BR71C475KE51L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56" sId="4" xfDxf="1" dxf="1">
    <nc r="C8" t="inlineStr">
      <is>
        <t>Murata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57" sId="4" xfDxf="1" dxf="1">
    <nc r="D8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58" sId="4" xfDxf="1" dxf="1">
    <nc r="A9" t="inlineStr">
      <is>
        <t>C17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59" sId="4" xfDxf="1" dxf="1">
    <nc r="B9" t="inlineStr">
      <is>
        <r>
          <t>Filter Capacitor (</t>
        </r>
        <r>
          <rPr>
            <sz val="10"/>
            <color rgb="FF000000"/>
            <rFont val="Times New Roman"/>
            <family val="1"/>
          </rPr>
          <t>GRM21BR71C334JA01L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60" sId="4" xfDxf="1" dxf="1">
    <nc r="C9" t="inlineStr">
      <is>
        <t>Murata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61" sId="4" xfDxf="1" dxf="1">
    <nc r="D9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62" sId="4" xfDxf="1" dxf="1">
    <nc r="A10" t="inlineStr">
      <is>
        <t>C18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63" sId="4" xfDxf="1" dxf="1">
    <nc r="B10" t="inlineStr">
      <is>
        <r>
          <t>Filter Capacitor (</t>
        </r>
        <r>
          <rPr>
            <sz val="10"/>
            <color rgb="FF000000"/>
            <rFont val="Times New Roman"/>
            <family val="1"/>
          </rPr>
          <t>GRM219R71C474JA01D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64" sId="4" xfDxf="1" dxf="1">
    <nc r="C10" t="inlineStr">
      <is>
        <t>Murata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65" sId="4" xfDxf="1" dxf="1">
    <nc r="D10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66" sId="4" xfDxf="1" dxf="1">
    <nc r="A11" t="inlineStr">
      <is>
        <t>C21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67" sId="4" xfDxf="1" dxf="1">
    <nc r="B11" t="inlineStr">
      <is>
        <r>
          <t>Capacitor (</t>
        </r>
        <r>
          <rPr>
            <sz val="10"/>
            <color rgb="FF000000"/>
            <rFont val="Times New Roman"/>
            <family val="1"/>
          </rPr>
          <t>GCQ0335C1H100JB01D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68" sId="4" xfDxf="1" dxf="1">
    <nc r="C11" t="inlineStr">
      <is>
        <t>Murata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69" sId="4" xfDxf="1" dxf="1">
    <nc r="D11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70" sId="4" xfDxf="1" dxf="1">
    <nc r="A12" t="inlineStr">
      <is>
        <t>C22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71" sId="4" xfDxf="1" dxf="1">
    <nc r="B12" t="inlineStr">
      <is>
        <r>
          <t>Capacitor (</t>
        </r>
        <r>
          <rPr>
            <sz val="10"/>
            <color rgb="FF000000"/>
            <rFont val="Times New Roman"/>
            <family val="1"/>
          </rPr>
          <t>GRJ21AR72E102KWJ1D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72" sId="4" xfDxf="1" dxf="1">
    <nc r="C12" t="inlineStr">
      <is>
        <t>Murata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73" sId="4" xfDxf="1" dxf="1">
    <nc r="D12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74" sId="4" xfDxf="1" dxf="1">
    <nc r="A13" t="inlineStr">
      <is>
        <t>C29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75" sId="4" xfDxf="1" dxf="1">
    <nc r="B13" t="inlineStr">
      <is>
        <r>
          <t>Capacitor (</t>
        </r>
        <r>
          <rPr>
            <sz val="10"/>
            <color rgb="FF000000"/>
            <rFont val="Times New Roman"/>
            <family val="1"/>
          </rPr>
          <t>GRM21AR7LU332KW01D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76" sId="4" xfDxf="1" dxf="1">
    <nc r="C13" t="inlineStr">
      <is>
        <t>Murata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77" sId="4" xfDxf="1" dxf="1">
    <nc r="D13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78" sId="4" xfDxf="1" dxf="1">
    <nc r="A14" t="inlineStr">
      <is>
        <t>C30, C31, C32, C36, C39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79" sId="4" xfDxf="1" dxf="1">
    <nc r="B14" t="inlineStr">
      <is>
        <r>
          <t>Capacitor (</t>
        </r>
        <r>
          <rPr>
            <sz val="10"/>
            <color rgb="FF000000"/>
            <rFont val="Times New Roman"/>
            <family val="1"/>
          </rPr>
          <t>GRM31CZ71C226ME15K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80" sId="4" xfDxf="1" dxf="1">
    <nc r="C14" t="inlineStr">
      <is>
        <t>Murata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81" sId="4" xfDxf="1" dxf="1">
    <nc r="D14">
      <v>5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82" sId="4" xfDxf="1" dxf="1">
    <nc r="A15" t="inlineStr">
      <is>
        <t>C38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83" sId="4" xfDxf="1" dxf="1">
    <nc r="B15" t="inlineStr">
      <is>
        <r>
          <t>Capacitor (</t>
        </r>
        <r>
          <rPr>
            <sz val="10"/>
            <color rgb="FF000000"/>
            <rFont val="Times New Roman"/>
            <family val="1"/>
          </rPr>
          <t>GRT21BR71C225KE01L</t>
        </r>
        <r>
          <rPr>
            <sz val="12"/>
            <color rgb="FF000000"/>
            <rFont val="Times New Roman"/>
            <family val="1"/>
          </rPr>
          <t>)</t>
        </r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84" sId="4" xfDxf="1" dxf="1">
    <nc r="C15" t="inlineStr">
      <is>
        <t>Murata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885" sId="4" xfDxf="1" dxf="1">
    <nc r="D15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886" sId="4" xfDxf="1" dxf="1">
    <nc r="A16" t="inlineStr">
      <is>
        <t>D1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87" sId="4" xfDxf="1" dxf="1">
    <nc r="B16" t="inlineStr">
      <is>
        <t>ESD Diode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888" sId="4" xfDxf="1" dxf="1">
    <nc r="C16" t="inlineStr">
      <is>
        <t>Vishay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89" sId="4" xfDxf="1" dxf="1">
    <nc r="D16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7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890" sId="4" xfDxf="1" dxf="1">
    <nc r="B17" t="inlineStr">
      <is>
        <t>(SMF5V0A)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7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7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891" sId="4" xfDxf="1" dxf="1">
    <nc r="A18">
      <v>19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892" sId="4" xfDxf="1" dxf="1">
    <nc r="B18" t="inlineStr">
      <is>
        <t xml:space="preserve">Bi-colour LED Light Pipe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893" sId="4" xfDxf="1" dxf="1">
    <nc r="C18" t="inlineStr">
      <is>
        <t>Bivar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94" sId="4" xfDxf="1" dxf="1">
    <nc r="D18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95" sId="4" xfDxf="1" dxf="1">
    <nc r="A19" t="inlineStr">
      <is>
        <r>
          <t>(</t>
        </r>
        <r>
          <rPr>
            <b/>
            <sz val="10"/>
            <color rgb="FF000000"/>
            <rFont val="Times New Roman"/>
            <family val="1"/>
          </rPr>
          <t>D2</t>
        </r>
        <r>
          <rPr>
            <sz val="8"/>
            <color rgb="FF000000"/>
            <rFont val="Times New Roman"/>
            <family val="1"/>
          </rPr>
          <t xml:space="preserve"> </t>
        </r>
        <r>
          <rPr>
            <sz val="10"/>
            <color rgb="FF000000"/>
            <rFont val="Times New Roman"/>
            <family val="1"/>
          </rPr>
          <t>in 10.3.1 Schematic)</t>
        </r>
        <r>
          <rPr>
            <b/>
            <sz val="12"/>
            <color rgb="FF000000"/>
            <rFont val="Times New Roman"/>
            <family val="1"/>
          </rPr>
          <t xml:space="preserve">  </t>
        </r>
      </is>
    </nc>
    <ndxf>
      <font>
        <sz val="10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896" sId="4" xfDxf="1" dxf="1">
    <nc r="B19" t="inlineStr">
      <is>
        <t>(PLTR5-8MM-PR1)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897" sId="4" xfDxf="1" dxf="1">
    <nc r="A20" t="inlineStr">
      <is>
        <t>D3, D4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898" sId="4" xfDxf="1" dxf="1">
    <nc r="B20" t="inlineStr">
      <is>
        <t>Schottky Diode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899" sId="4" xfDxf="1" dxf="1">
    <nc r="C20" t="inlineStr">
      <is>
        <t>STMicro-electronics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00" sId="4" xfDxf="1" dxf="1">
    <nc r="D20">
      <v>2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21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01" sId="4" xfDxf="1" dxf="1">
    <nc r="B21" t="inlineStr">
      <is>
        <t>(STPS340S)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2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21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02" sId="4" xfDxf="1" dxf="1">
    <nc r="A22" t="inlineStr">
      <is>
        <t>IC1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03" sId="4" xfDxf="1" dxf="1">
    <nc r="B22" t="inlineStr">
      <is>
        <t>Charging Controller (MCP73223)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04" sId="4" xfDxf="1" dxf="1">
    <nc r="C22" t="inlineStr">
      <is>
        <t>Microchip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05" sId="4" xfDxf="1" dxf="1">
    <nc r="D2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906" sId="4" xfDxf="1" dxf="1">
    <nc r="A23" t="inlineStr">
      <is>
        <t>IC2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07" sId="4" xfDxf="1" dxf="1">
    <nc r="B23" t="inlineStr">
      <is>
        <t>Voltage Reference (MAX6126)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08" sId="4" xfDxf="1" dxf="1">
    <nc r="C23" t="inlineStr">
      <is>
        <t>Maxim Integrated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09" sId="4" xfDxf="1" dxf="1">
    <nc r="D23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910" sId="4" xfDxf="1" dxf="1">
    <nc r="A24" t="inlineStr">
      <is>
        <t>L1, L3, L4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11" sId="4" xfDxf="1" dxf="1">
    <nc r="B24" t="inlineStr">
      <is>
        <t xml:space="preserve">Inductor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12" sId="4" xfDxf="1" dxf="1">
    <nc r="C24" t="inlineStr">
      <is>
        <t>Delevan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13" sId="4" xfDxf="1" dxf="1">
    <nc r="D24">
      <v>3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25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14" sId="4" xfDxf="1" dxf="1">
    <nc r="B25" t="inlineStr">
      <is>
        <t>(8532R-09K)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2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2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15" sId="4" xfDxf="1" dxf="1">
    <nc r="A26" t="inlineStr">
      <is>
        <t>L2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16" sId="4" xfDxf="1" dxf="1">
    <nc r="B26" t="inlineStr">
      <is>
        <t xml:space="preserve">Inductor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917" sId="4" xfDxf="1" dxf="1">
    <nc r="C26" t="inlineStr">
      <is>
        <t>Bourns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18" sId="4" xfDxf="1" dxf="1">
    <nc r="D26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27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19" sId="4" xfDxf="1" dxf="1">
    <nc r="B27" t="inlineStr">
      <is>
        <t>(RLB0913-2R2K)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27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27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20" sId="4" xfDxf="1" dxf="1">
    <nc r="A28" t="inlineStr">
      <is>
        <t>Q1, Q2, Q5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21" sId="4" xfDxf="1" dxf="1">
    <nc r="B28" t="inlineStr">
      <is>
        <t>P-Channel MOSFET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22" sId="4" xfDxf="1" dxf="1">
    <nc r="C28" t="inlineStr">
      <is>
        <t>Alpha &amp; Omega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23" sId="4" xfDxf="1" dxf="1">
    <nc r="D28">
      <v>3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29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24" sId="4" xfDxf="1" dxf="1">
    <nc r="B29" t="inlineStr">
      <is>
        <t>(AO3401A)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2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2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25" sId="4" xfDxf="1" dxf="1">
    <nc r="A30" t="inlineStr">
      <is>
        <t>Q3, Q4, Q6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26" sId="4" xfDxf="1" dxf="1">
    <nc r="B30" t="inlineStr">
      <is>
        <t>N-Channel MOSFET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927" sId="4" xfDxf="1" dxf="1">
    <nc r="C30" t="inlineStr">
      <is>
        <t>Alpha &amp; Omega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28" sId="4" xfDxf="1" dxf="1">
    <nc r="D30">
      <v>3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31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29" sId="4" xfDxf="1" dxf="1">
    <nc r="B31" t="inlineStr">
      <is>
        <t>(AO3400A)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3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31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30" sId="4" xfDxf="1" dxf="1">
    <nc r="A32" t="inlineStr">
      <is>
        <t>R1, R2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31" sId="4" xfDxf="1" dxf="1">
    <nc r="B32" t="inlineStr">
      <is>
        <t>Resistor (TNPW08055K10FETA)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32" sId="4" xfDxf="1" dxf="1">
    <nc r="C32" t="inlineStr">
      <is>
        <t>Vishay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33" sId="4" xfDxf="1" dxf="1">
    <nc r="D32">
      <v>2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934" sId="4" xfDxf="1" dxf="1">
    <nc r="A33" t="inlineStr">
      <is>
        <t>R3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35" sId="4" xfDxf="1" dxf="1">
    <nc r="B33" t="inlineStr">
      <is>
        <t>Resistor (ROX050500KFKLB)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36" sId="4" xfDxf="1" dxf="1">
    <nc r="C33" t="inlineStr">
      <is>
        <t>Vishay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37" sId="4" xfDxf="1" dxf="1">
    <nc r="D33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938" sId="4" xfDxf="1" dxf="1">
    <nc r="A34" t="inlineStr">
      <is>
        <t>R4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39" sId="4" xfDxf="1" dxf="1">
    <nc r="B34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40" sId="4" xfDxf="1" dxf="1">
    <nc r="C34" t="inlineStr">
      <is>
        <t>Xicon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41" sId="4" xfDxf="1" dxf="1">
    <nc r="D34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35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42" sId="4" xfDxf="1" dxf="1">
    <nc r="B35" t="inlineStr">
      <is>
        <t>(271-24.3K-AP-RC)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3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3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43" sId="4" xfDxf="1" dxf="1">
    <nc r="A36" t="inlineStr">
      <is>
        <t>R5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44" sId="4" xfDxf="1" dxf="1">
    <nc r="B36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945" sId="4" xfDxf="1" dxf="1">
    <nc r="C36" t="inlineStr">
      <is>
        <t>YAGEO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46" sId="4" xfDxf="1" dxf="1">
    <nc r="D36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37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47" sId="4" xfDxf="1" dxf="1">
    <nc r="B37" t="inlineStr">
      <is>
        <t>(RSF200JR-52-200K)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37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37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48" sId="4" xfDxf="1" dxf="1">
    <nc r="A38" t="inlineStr">
      <is>
        <t>R6, R9, R10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49" sId="4" xfDxf="1" dxf="1">
    <nc r="B38" t="inlineStr">
      <is>
        <t xml:space="preserve">Precision 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50" sId="4" xfDxf="1" dxf="1">
    <nc r="C38" t="inlineStr">
      <is>
        <t>Panasonic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51" sId="4" xfDxf="1" dxf="1">
    <nc r="D38">
      <v>3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39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52" sId="4" xfDxf="1" dxf="1">
    <nc r="B39" t="inlineStr">
      <is>
        <t>(ERA-3AEB103V)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3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3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53" sId="4" xfDxf="1" dxf="1">
    <nc r="A40" t="inlineStr">
      <is>
        <t>R12, R13, R15, R20, R21, R24, R25, R26, R30, R31, R34, R35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54" sId="4" xfDxf="1" dxf="1">
    <nc r="B40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955" sId="4" xfDxf="1" dxf="1">
    <nc r="C40" t="inlineStr">
      <is>
        <t>YAGEO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56" sId="4" xfDxf="1" dxf="1">
    <nc r="D40">
      <v>11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41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57" sId="4" xfDxf="1" dxf="1">
    <nc r="B41" t="inlineStr">
      <is>
        <t>(RSF50SJT-52-10K)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4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41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58" sId="4" xfDxf="1" dxf="1">
    <nc r="A42" t="inlineStr">
      <is>
        <t>R7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59" sId="4" xfDxf="1" dxf="1">
    <nc r="B42" t="inlineStr">
      <is>
        <t xml:space="preserve">Precision 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60" sId="4" xfDxf="1" dxf="1">
    <nc r="C42" t="inlineStr">
      <is>
        <t>Panasonic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61" sId="4" xfDxf="1" dxf="1">
    <nc r="D4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43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62" sId="4" xfDxf="1" dxf="1">
    <nc r="B43" t="inlineStr">
      <is>
        <t>(ERA-3AEB101V)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43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43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63" sId="4" xfDxf="1" dxf="1">
    <nc r="A44" t="inlineStr">
      <is>
        <t>R8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64" sId="4" xfDxf="1" dxf="1">
    <nc r="B44" t="inlineStr">
      <is>
        <t xml:space="preserve">Precision 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965" sId="4" xfDxf="1" dxf="1">
    <nc r="C44" t="inlineStr">
      <is>
        <t>Panasonic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66" sId="4" xfDxf="1" dxf="1">
    <nc r="D44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45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67" sId="4" xfDxf="1" dxf="1">
    <nc r="B45" t="inlineStr">
      <is>
        <t>(ERA-3ARB472V)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45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45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68" sId="4" xfDxf="1" dxf="1">
    <nc r="A46" t="inlineStr">
      <is>
        <t>R11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69" sId="4" xfDxf="1" dxf="1">
    <nc r="B46" t="inlineStr">
      <is>
        <t xml:space="preserve">Precision 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70" sId="4" xfDxf="1" dxf="1">
    <nc r="C46" t="inlineStr">
      <is>
        <t>Panasonic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71" sId="4" xfDxf="1" dxf="1">
    <nc r="D46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47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72" sId="4" xfDxf="1" dxf="1">
    <nc r="B47" t="inlineStr">
      <is>
        <t>(ERA-3AEB4991V)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47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47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73" sId="4" xfDxf="1" dxf="1">
    <nc r="A48" t="inlineStr">
      <is>
        <t>R14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74" sId="4" xfDxf="1" dxf="1">
    <nc r="B48" t="inlineStr">
      <is>
        <t>Resistor (RSPF12JT1K20)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75" sId="4" xfDxf="1" dxf="1">
    <nc r="C48" t="inlineStr">
      <is>
        <t>SEI Stackpole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76" sId="4" xfDxf="1" dxf="1">
    <nc r="D48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977" sId="4" xfDxf="1" dxf="1">
    <nc r="A49" t="inlineStr">
      <is>
        <t>R16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78" sId="4" xfDxf="1" dxf="1">
    <nc r="B49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79" sId="4" xfDxf="1" dxf="1">
    <nc r="C49" t="inlineStr">
      <is>
        <t>YAGEO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80" sId="4" xfDxf="1" dxf="1">
    <nc r="D49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50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81" sId="4" xfDxf="1" dxf="1">
    <nc r="B50" t="inlineStr">
      <is>
        <t>(RSF100JT-73-1K)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5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5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82" sId="4" xfDxf="1" dxf="1">
    <nc r="A51" t="inlineStr">
      <is>
        <t>R17, R22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83" sId="4" xfDxf="1" dxf="1">
    <nc r="B51" t="inlineStr">
      <is>
        <t>Resistor (RNF14BBE100K)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84" sId="4" xfDxf="1" dxf="1">
    <nc r="C51" t="inlineStr">
      <is>
        <t>SEI Stackpole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85" sId="4" xfDxf="1" dxf="1">
    <nc r="D51">
      <v>2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986" sId="4" xfDxf="1" dxf="1">
    <nc r="A52" t="inlineStr">
      <is>
        <t>R18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87" sId="4" xfDxf="1" dxf="1">
    <nc r="B52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988" sId="4" xfDxf="1" dxf="1">
    <nc r="C52" t="inlineStr">
      <is>
        <t>YAGEO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89" sId="4" xfDxf="1" dxf="1">
    <nc r="D5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53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90" sId="4" xfDxf="1" dxf="1">
    <nc r="B53" t="inlineStr">
      <is>
        <t>(RSF100JB-73-1M)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53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53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91" sId="4" xfDxf="1" dxf="1">
    <nc r="A54" t="inlineStr">
      <is>
        <t>R19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92" sId="4" xfDxf="1" dxf="1">
    <nc r="B54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993" sId="4" xfDxf="1" dxf="1">
    <nc r="C54" t="inlineStr">
      <is>
        <t>YAGEO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994" sId="4" xfDxf="1" dxf="1">
    <nc r="D54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55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95" sId="4" xfDxf="1" dxf="1">
    <nc r="B55" t="inlineStr">
      <is>
        <t>(MFR-25FBF52-71K5)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55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55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996" sId="4" xfDxf="1" dxf="1">
    <nc r="A56" t="inlineStr">
      <is>
        <t>R23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997" sId="4" xfDxf="1" dxf="1">
    <nc r="B56" t="inlineStr">
      <is>
        <t>Resistor (PTF6531K250BZWF)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98" sId="4" xfDxf="1" dxf="1">
    <nc r="C56" t="inlineStr">
      <is>
        <t>Vishay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999" sId="4" xfDxf="1" dxf="1">
    <nc r="D56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00" sId="4" xfDxf="1" dxf="1">
    <nc r="A57" t="inlineStr">
      <is>
        <t>R27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01" sId="4" xfDxf="1" dxf="1">
    <nc r="B57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02" sId="4" xfDxf="1" dxf="1">
    <nc r="C57" t="inlineStr">
      <is>
        <t>YAGEO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03" sId="4" xfDxf="1" dxf="1">
    <nc r="D57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58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04" sId="4" xfDxf="1" dxf="1">
    <nc r="B58" t="inlineStr">
      <is>
        <t>(MFR-25FBF52-301K)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58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58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05" sId="4" xfDxf="1" dxf="1">
    <nc r="A59" t="inlineStr">
      <is>
        <t>R28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06" sId="4" xfDxf="1" dxf="1">
    <nc r="B59" t="inlineStr">
      <is>
        <t>Resistor (PTF6540K000FZBF)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07" sId="4" xfDxf="1" dxf="1">
    <nc r="C59" t="inlineStr">
      <is>
        <t>Vishay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08" sId="4" xfDxf="1" dxf="1">
    <nc r="D59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09" sId="4" xfDxf="1" dxf="1">
    <nc r="A60" t="inlineStr">
      <is>
        <t>R29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10" sId="4" xfDxf="1" dxf="1">
    <nc r="B60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11" sId="4" xfDxf="1" dxf="1">
    <nc r="C60" t="inlineStr">
      <is>
        <t>YAGEO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12" sId="4" xfDxf="1" dxf="1">
    <nc r="D60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61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13" sId="4" xfDxf="1" dxf="1">
    <nc r="B61" t="inlineStr">
      <is>
        <t>(MFR-25FBF52-4K87)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6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61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14" sId="4" xfDxf="1" dxf="1">
    <nc r="A62" t="inlineStr">
      <is>
        <t>R32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15" sId="4" xfDxf="1" dxf="1">
    <nc r="B62" t="inlineStr">
      <is>
        <t>Resistor (MF1/4DC1742F)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16" sId="4" xfDxf="1" dxf="1">
    <nc r="C62" t="inlineStr">
      <is>
        <t>KOA Speer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17" sId="4" xfDxf="1" dxf="1">
    <nc r="D6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18" sId="4" xfDxf="1" dxf="1">
    <nc r="A63" t="inlineStr">
      <is>
        <t>R33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19" sId="4" xfDxf="1" dxf="1">
    <nc r="B63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20" sId="4" xfDxf="1" dxf="1">
    <nc r="C63" t="inlineStr">
      <is>
        <t>YAGEO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21" sId="4" xfDxf="1" dxf="1">
    <nc r="D63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64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22" sId="4" xfDxf="1" dxf="1">
    <nc r="B64" t="inlineStr">
      <is>
        <t>(MFR-25FRF52-127K)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64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64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23" sId="4" xfDxf="1" dxf="1">
    <nc r="A65" t="inlineStr">
      <is>
        <t>R36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24" sId="4" xfDxf="1" dxf="1">
    <nc r="B65" t="inlineStr">
      <is>
        <t xml:space="preserve">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025" sId="4" xfDxf="1" dxf="1">
    <nc r="C65" t="inlineStr">
      <is>
        <t>YAGEO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26" sId="4" xfDxf="1" dxf="1">
    <nc r="D65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66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27" sId="4" xfDxf="1" dxf="1">
    <nc r="B66" t="inlineStr">
      <is>
        <t>(RSF-50JT-52-20K)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6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66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28" sId="4" xfDxf="1" dxf="1">
    <nc r="A67" t="inlineStr">
      <is>
        <t>R37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29" sId="4" xfDxf="1" dxf="1">
    <nc r="B67" t="inlineStr">
      <is>
        <t xml:space="preserve">Precision Resistor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30" sId="4" xfDxf="1" dxf="1">
    <nc r="C67" t="inlineStr">
      <is>
        <t>Panasonic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31" sId="4" xfDxf="1" dxf="1">
    <nc r="D67">
      <v>6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68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32" sId="4" xfDxf="1" dxf="1">
    <nc r="B68" t="inlineStr">
      <is>
        <t>(ERA-3AEB104V)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68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68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33" sId="4" xfDxf="1" dxf="1">
    <nc r="A69" t="inlineStr">
      <is>
        <t>R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34" sId="4" xfDxf="1" dxf="1">
    <nc r="B69" t="inlineStr">
      <is>
        <t xml:space="preserve">Precision Resistor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035" sId="4" xfDxf="1" dxf="1">
    <nc r="C69" t="inlineStr">
      <is>
        <t>Panasonic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36" sId="4" xfDxf="1" dxf="1">
    <nc r="D69">
      <v>6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70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37" sId="4" xfDxf="1" dxf="1">
    <nc r="B70" t="inlineStr">
      <is>
        <t>(ERA-3AEBxxxV)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7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7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38" sId="4" xfDxf="1" dxf="1">
    <nc r="A71" t="inlineStr">
      <is>
        <t>U1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39" sId="4" xfDxf="1" dxf="1">
    <nc r="B71" t="inlineStr">
      <is>
        <t>Instrumentation Amplifier (AD8421)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40" sId="4" xfDxf="1" dxf="1">
    <nc r="C71" t="inlineStr">
      <is>
        <t>Analog Devices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41" sId="4" xfDxf="1" dxf="1">
    <nc r="D71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42" sId="4" xfDxf="1" dxf="1">
    <nc r="A72" t="inlineStr">
      <is>
        <t>U2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43" sId="4" xfDxf="1" dxf="1">
    <nc r="B72" t="inlineStr">
      <is>
        <t xml:space="preserve"> Operational Amplifier (OPA188)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44" sId="4" xfDxf="1" dxf="1">
    <nc r="C72" t="inlineStr">
      <is>
        <t>Texas Instruments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45" sId="4" xfDxf="1" dxf="1">
    <nc r="D7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46" sId="4" xfDxf="1" dxf="1">
    <nc r="A73" t="inlineStr">
      <is>
        <t>U3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47" sId="4" xfDxf="1" dxf="1">
    <nc r="B73" t="inlineStr">
      <is>
        <t>Delta-Sigma Analogue to Digital Converter (ADS127L21)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48" sId="4" xfDxf="1" dxf="1">
    <nc r="C73" t="inlineStr">
      <is>
        <t>Texas Instruments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49" sId="4" xfDxf="1" dxf="1">
    <nc r="D73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50" sId="4" xfDxf="1" dxf="1">
    <nc r="A74" t="inlineStr">
      <is>
        <t>U4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51" sId="4" xfDxf="1" dxf="1">
    <nc r="B74" t="inlineStr">
      <is>
        <t>Digital Potentiometer (MCP41U83)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52" sId="4" xfDxf="1" dxf="1">
    <nc r="C74" t="inlineStr">
      <is>
        <t>Microchip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53" sId="4" xfDxf="1" dxf="1">
    <nc r="D74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54" sId="4" xfDxf="1" dxf="1">
    <nc r="A75" t="inlineStr">
      <is>
        <t>U5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55" sId="4" xfDxf="1" dxf="1">
    <nc r="B75" t="inlineStr">
      <is>
        <t>Optocoupler (PS9117A)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56" sId="4" xfDxf="1" dxf="1">
    <nc r="C75" t="inlineStr">
      <is>
        <t>Renesas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57" sId="4" xfDxf="1" dxf="1">
    <nc r="D75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58" sId="4" xfDxf="1" dxf="1">
    <nc r="A76" t="inlineStr">
      <is>
        <t>U6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59" sId="4" xfDxf="1" dxf="1">
    <nc r="B76" t="inlineStr">
      <is>
        <t>10V Voltage Regulator (TPS61170)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60" sId="4" xfDxf="1" dxf="1">
    <nc r="C76" t="inlineStr">
      <is>
        <t>Texas Instruments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61" sId="4" xfDxf="1" dxf="1">
    <nc r="D76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62" sId="4" xfDxf="1" dxf="1">
    <nc r="A77" t="inlineStr">
      <is>
        <t>U7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63" sId="4" xfDxf="1" dxf="1">
    <nc r="B77" t="inlineStr">
      <is>
        <t>3.3V Voltage Regulator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64" sId="4" xfDxf="1" dxf="1">
    <nc r="C77" t="inlineStr">
      <is>
        <t>Texas Instruments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65" sId="4" xfDxf="1" dxf="1">
    <nc r="D77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78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66" sId="4" xfDxf="1" dxf="1">
    <nc r="B78" t="inlineStr">
      <is>
        <t>(TPS62130)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78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78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67" sId="4" xfDxf="1" dxf="1">
    <nc r="A79" t="inlineStr">
      <is>
        <t>U8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68" sId="4" xfDxf="1" dxf="1">
    <nc r="B79" t="inlineStr">
      <is>
        <t>5V Voltage Regulator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069" sId="4" xfDxf="1" dxf="1">
    <nc r="C79" t="inlineStr">
      <is>
        <t>Texas Instruments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70" sId="4" xfDxf="1" dxf="1">
    <nc r="D79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80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71" sId="4" xfDxf="1" dxf="1">
    <nc r="B80" t="inlineStr">
      <is>
        <t>(TPS61099)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8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80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72" sId="4" xfDxf="1" dxf="1">
    <nc r="A81" t="inlineStr">
      <is>
        <t>U9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73" sId="4" xfDxf="1" dxf="1">
    <nc r="B81" t="inlineStr">
      <is>
        <t>5.5V Voltage Regulator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74" sId="4" xfDxf="1" dxf="1">
    <nc r="C81" t="inlineStr">
      <is>
        <t>Texas Instruments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75" sId="4" xfDxf="1" dxf="1">
    <nc r="D81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82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76" sId="4" xfDxf="1" dxf="1">
    <nc r="B82" t="inlineStr">
      <is>
        <t>(TPS61089)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82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82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77" sId="4" xfDxf="1" dxf="1">
    <nc r="A83" t="inlineStr">
      <is>
        <t>U10</t>
      </is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78" sId="4" xfDxf="1" dxf="1">
    <nc r="B83" t="inlineStr">
      <is>
        <t>Non-volatile Memory (W25Q128JVS)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79" sId="4" xfDxf="1" dxf="1">
    <nc r="C83" t="inlineStr">
      <is>
        <t>Winbond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80" sId="4" xfDxf="1" dxf="1">
    <nc r="D83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81" sId="4" xfDxf="1" dxf="1">
    <nc r="A84" t="inlineStr">
      <is>
        <t>U11</t>
      </is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82" sId="4" xfDxf="1" dxf="1">
    <nc r="B84" t="inlineStr">
      <is>
        <t xml:space="preserve">Microcontroller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083" sId="4" xfDxf="1" dxf="1">
    <nc r="C84" t="inlineStr">
      <is>
        <t>Espress-if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84" sId="4" xfDxf="1" dxf="1">
    <nc r="D84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85" start="0" length="0">
    <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85" sId="4" xfDxf="1" dxf="1">
    <nc r="B85" t="inlineStr">
      <is>
        <t>(ESP32-P4)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85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85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086" sId="4" xfDxf="1" dxf="1">
    <nc r="A86">
      <v>1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87" sId="4" xfDxf="1" dxf="1">
    <nc r="B86" t="inlineStr">
      <is>
        <t>Printed Circuit Board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88" sId="4" xfDxf="1" dxf="1">
    <nc r="C86" t="inlineStr">
      <is>
        <t>Würth Elektronik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89" sId="4" xfDxf="1" dxf="1">
    <nc r="D86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90" sId="4" xfDxf="1" dxf="1">
    <nc r="A87">
      <v>13</v>
    </nc>
    <n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91" sId="4" xfDxf="1" dxf="1">
    <nc r="B87" t="inlineStr">
      <is>
        <t>M12 Load Cell Cable (77 2529 0000 50705-0200)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92" sId="4" xfDxf="1" dxf="1">
    <nc r="C87" t="inlineStr">
      <is>
        <t>Binder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cc rId="1093" sId="4" xfDxf="1" dxf="1">
    <nc r="D87" t="inlineStr">
      <is>
        <r>
          <t>1</t>
        </r>
        <r>
          <rPr>
            <sz val="8"/>
            <color theme="1"/>
            <rFont val="Times New Roman"/>
            <family val="1"/>
          </rPr>
          <t> </t>
        </r>
      </is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right style="medium">
          <color rgb="FFBFBFBF"/>
        </right>
        <bottom style="medium">
          <color rgb="FFBFBFBF"/>
        </bottom>
      </border>
    </ndxf>
  </rcc>
  <rcc rId="1094" sId="4" xfDxf="1" dxf="1">
    <nc r="A88">
      <v>14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1095" sId="4" xfDxf="1" dxf="1">
    <nc r="B88" t="inlineStr">
      <is>
        <t>TouchScreen/SPI Touch Controller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096" sId="4" xfDxf="1" dxf="1">
    <nc r="C88" t="inlineStr">
      <is>
        <t>EastRising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97" sId="4" xfDxf="1" dxf="1">
    <nc r="D88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098" sId="4" xfDxf="1" dxf="1">
    <nc r="A89" t="inlineStr">
      <is>
        <t>(U12 in 10.3.1 Schematic)</t>
      </is>
    </nc>
    <ndxf>
      <font>
        <sz val="10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099" sId="4" xfDxf="1" dxf="1">
    <nc r="B89" t="inlineStr">
      <is>
        <t>(ER-TFT101-1)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8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8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00" sId="4" xfDxf="1" dxf="1">
    <nc r="A90">
      <v>15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1101" sId="4" xfDxf="1" dxf="1">
    <nc r="B90" t="inlineStr">
      <is>
        <t>Push Buttons (P19TFRGBPOWER)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02" sId="4" xfDxf="1" dxf="1">
    <nc r="C90" t="inlineStr">
      <is>
        <t>Metzler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03" sId="4" xfDxf="1" dxf="1">
    <nc r="D90">
      <v>2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04" sId="4" xfDxf="1" dxf="1">
    <nc r="A91" t="inlineStr">
      <is>
        <t>(SW1, SW2 in 10.3.1 Schematic)</t>
      </is>
    </nc>
    <ndxf>
      <font>
        <sz val="10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fmt sheetId="4" xfDxf="1" sqref="B9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C9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91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05" sId="4" xfDxf="1" dxf="1">
    <nc r="A92">
      <v>16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1106" sId="4" xfDxf="1" dxf="1">
    <nc r="B92" t="inlineStr">
      <is>
        <t xml:space="preserve">M12 5-pin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107" sId="4" xfDxf="1" dxf="1">
    <nc r="C92" t="inlineStr">
      <is>
        <t>Phoenix Contact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08" sId="4" xfDxf="1" dxf="1">
    <nc r="D92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09" sId="4" xfDxf="1" dxf="1">
    <nc r="A93" t="inlineStr">
      <is>
        <t>(J1 in 10.3.1 Schematic)</t>
      </is>
    </nc>
    <ndxf>
      <font>
        <sz val="10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110" sId="4" xfDxf="1" dxf="1">
    <nc r="B93" t="inlineStr">
      <is>
        <t>(ABQEHI)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93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93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11" sId="4" xfDxf="1" dxf="1">
    <nc r="A94">
      <v>17</v>
    </nc>
    <ndxf>
      <font>
        <b/>
        <sz val="12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1112" sId="4" xfDxf="1" dxf="1">
    <nc r="B94" t="inlineStr">
      <is>
        <t xml:space="preserve">USB A 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113" sId="4" xfDxf="1" dxf="1">
    <nc r="C94" t="inlineStr">
      <is>
        <t>Stewart Connector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14" sId="4" xfDxf="1" dxf="1">
    <nc r="D94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15" sId="4" xfDxf="1" dxf="1">
    <nc r="A95" t="inlineStr">
      <is>
        <t>(J2 in 10.3.1 Schematic)</t>
      </is>
    </nc>
    <ndxf>
      <font>
        <sz val="10"/>
        <color rgb="FF000000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116" sId="4" xfDxf="1" dxf="1">
    <nc r="B95" t="inlineStr">
      <is>
        <t>(SS-52200-001)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95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95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17" sId="4" xfDxf="1" dxf="1">
    <nc r="A96">
      <v>18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</border>
    </ndxf>
  </rcc>
  <rcc rId="1118" sId="4" xfDxf="1" dxf="1">
    <nc r="B96" t="inlineStr">
      <is>
        <t xml:space="preserve">USB C 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119" sId="4" xfDxf="1" dxf="1">
    <nc r="C96" t="inlineStr">
      <is>
        <t>Stewart Connector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20" sId="4" xfDxf="1" dxf="1">
    <nc r="D96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21" sId="4" xfDxf="1" dxf="1">
    <nc r="A97" t="inlineStr">
      <is>
        <t>(J3 in 10.3.1 Schematic)</t>
      </is>
    </nc>
    <ndxf>
      <font>
        <sz val="10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ndxf>
  </rcc>
  <rcc rId="1122" sId="4" xfDxf="1" dxf="1">
    <nc r="B97" t="inlineStr">
      <is>
        <t>(SS-52400-012)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97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97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23" sId="4" xfDxf="1" dxf="1">
    <nc r="A98">
      <v>20</v>
    </nc>
    <n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24" sId="4" xfDxf="1" dxf="1">
    <nc r="B98" t="inlineStr">
      <is>
        <t>Battery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125" sId="4" xfDxf="1" dxf="1">
    <nc r="C98" t="inlineStr">
      <is>
        <t>YDL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26" sId="4" xfDxf="1" dxf="1">
    <nc r="D98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99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27" sId="4" xfDxf="1" dxf="1">
    <nc r="B99" t="inlineStr">
      <is>
        <t>(YDL866898)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99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99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28" sId="4" xfDxf="1" dxf="1">
    <nc r="A100">
      <v>21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29" sId="4" xfDxf="1" dxf="1">
    <nc r="B100" t="inlineStr">
      <is>
        <t>150 gf Load Cell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130" sId="4" xfDxf="1" dxf="1">
    <nc r="C100" t="inlineStr">
      <is>
        <t>Innovatest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31" sId="4" xfDxf="1" dxf="1">
    <nc r="D100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01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32" sId="4" xfDxf="1" dxf="1">
    <nc r="B101" t="inlineStr">
      <is>
        <t>(A151)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01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01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33" sId="4" xfDxf="1" dxf="1">
    <nc r="A102">
      <v>22</v>
    </nc>
    <n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34" sId="4" xfDxf="1" dxf="1">
    <nc r="B102" t="inlineStr">
      <is>
        <t>2 kgf Load Cell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135" sId="4" xfDxf="1" dxf="1">
    <nc r="C102" t="inlineStr">
      <is>
        <t>Innovatest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36" sId="4" xfDxf="1" dxf="1">
    <nc r="D102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03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37" sId="4" xfDxf="1" dxf="1">
    <nc r="B103" t="inlineStr">
      <is>
        <t>(C202)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03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03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38" sId="4" xfDxf="1" dxf="1">
    <nc r="A104">
      <v>23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39" sId="4" xfDxf="1" dxf="1">
    <nc r="B104" t="inlineStr">
      <is>
        <t>20 kgf Load Cell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140" sId="4" xfDxf="1" dxf="1">
    <nc r="C104" t="inlineStr">
      <is>
        <t>Innovatest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41" sId="4" xfDxf="1" dxf="1">
    <nc r="D104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05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42" sId="4" xfDxf="1" dxf="1">
    <nc r="B105" t="inlineStr">
      <is>
        <t>(E20K)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0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05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43" sId="4" xfDxf="1" dxf="1">
    <nc r="A106">
      <v>24</v>
    </nc>
    <n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44" sId="4" xfDxf="1" dxf="1">
    <nc r="B106" t="inlineStr">
      <is>
        <t>45 kgf Load Cell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145" sId="4" xfDxf="1" dxf="1">
    <nc r="C106" t="inlineStr">
      <is>
        <t>Innovatest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46" sId="4" xfDxf="1" dxf="1">
    <nc r="D106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07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47" sId="4" xfDxf="1" dxf="1">
    <nc r="B107" t="inlineStr">
      <is>
        <t>(D45K)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07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07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48" sId="4" xfDxf="1" dxf="1">
    <nc r="A108">
      <v>25</v>
    </nc>
    <n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49" sId="4" xfDxf="1" dxf="1">
    <nc r="B108" t="inlineStr">
      <is>
        <t>250 kgf Load Cell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</border>
    </ndxf>
  </rcc>
  <rcc rId="1150" sId="4" xfDxf="1" dxf="1">
    <nc r="C108" t="inlineStr">
      <is>
        <t>Innovatest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51" sId="4" xfDxf="1" dxf="1">
    <nc r="D108">
      <v>1</v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09" start="0" length="0">
    <dxf>
      <font>
        <b/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52" sId="4" xfDxf="1" dxf="1">
    <nc r="B109" t="inlineStr">
      <is>
        <t>(F250K)</t>
      </is>
    </nc>
    <n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0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09" start="0" length="0">
    <dxf>
      <font>
        <sz val="12"/>
        <color rgb="FF000000"/>
        <name val="Times New Roman"/>
        <family val="1"/>
        <scheme val="none"/>
      </font>
      <fill>
        <patternFill patternType="solid">
          <bgColor rgb="FFF2F2F2"/>
        </patternFill>
      </fill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53" sId="4" xfDxf="1" dxf="1">
    <nc r="A110">
      <v>26</v>
    </nc>
    <n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54" sId="4" xfDxf="1" dxf="1">
    <nc r="B110" t="inlineStr">
      <is>
        <t>3000 kgf Load Cell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</border>
    </ndxf>
  </rcc>
  <rcc rId="1155" sId="4" xfDxf="1" dxf="1">
    <nc r="C110" t="inlineStr">
      <is>
        <t>Innovatest</t>
      </is>
    </nc>
    <n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cc rId="1156" sId="4" xfDxf="1" dxf="1">
    <nc r="D110">
      <v>1</v>
    </nc>
    <n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top style="medium">
          <color rgb="FFBFBFBF"/>
        </top>
      </border>
    </ndxf>
  </rcc>
  <rfmt sheetId="4" xfDxf="1" sqref="A111" start="0" length="0">
    <dxf>
      <font>
        <b/>
        <sz val="12"/>
        <name val="Times New Roman"/>
        <family val="1"/>
        <scheme val="none"/>
      </font>
      <alignment horizontal="lef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57" sId="4" xfDxf="1" dxf="1">
    <nc r="B111" t="inlineStr">
      <is>
        <t>(F3000K)</t>
      </is>
    </nc>
    <ndxf>
      <font>
        <sz val="12"/>
        <name val="Times New Roman"/>
        <family val="1"/>
        <scheme val="none"/>
      </font>
      <alignment horizontal="center" vertical="center" wrapText="1"/>
      <border outline="0">
        <right style="medium">
          <color rgb="FFBFBFBF"/>
        </right>
        <bottom style="medium">
          <color rgb="FFBFBFBF"/>
        </bottom>
      </border>
    </ndxf>
  </rcc>
  <rfmt sheetId="4" xfDxf="1" sqref="C111" start="0" length="0">
    <dxf>
      <font>
        <sz val="12"/>
        <color rgb="FF000000"/>
        <name val="Times New Roman"/>
        <family val="1"/>
        <scheme val="none"/>
      </font>
      <alignment horizontal="center" vertical="center" wrapText="1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fmt sheetId="4" xfDxf="1" sqref="D111" start="0" length="0">
    <dxf>
      <font>
        <sz val="12"/>
        <color rgb="FF000000"/>
        <name val="Times New Roman"/>
        <family val="1"/>
        <scheme val="none"/>
      </font>
      <alignment horizontal="right" vertical="center"/>
      <border outline="0">
        <left style="medium">
          <color rgb="FFBFBFBF"/>
        </left>
        <right style="medium">
          <color rgb="FFBFBFBF"/>
        </right>
        <bottom style="medium">
          <color rgb="FFBFBFBF"/>
        </bottom>
      </border>
    </dxf>
  </rfmt>
  <rcc rId="1158" sId="4" xfDxf="1" dxf="1">
    <nc r="A112" t="inlineStr">
      <is>
        <r>
          <t> </t>
        </r>
        <r>
          <rPr>
            <sz val="10"/>
            <color theme="1"/>
            <rFont val="Times New Roman"/>
            <family val="1"/>
          </rPr>
          <t>Shouldn’t there be 5 of these?</t>
        </r>
      </is>
    </nc>
    <ndxf>
      <font>
        <sz val="8"/>
        <name val="Times New Roman"/>
        <family val="1"/>
        <scheme val="none"/>
      </font>
      <alignment horizontal="left" vertical="center"/>
    </ndxf>
  </rcc>
  <rfmt sheetId="4" xfDxf="1" sqref="B112" start="0" length="0"/>
  <rfmt sheetId="4" xfDxf="1" sqref="C112" start="0" length="0"/>
  <rfmt sheetId="4" xfDxf="1" sqref="D112" start="0" length="0"/>
  <rcc rId="1159" sId="4">
    <nc r="E1" t="inlineStr">
      <is>
        <t>Cost per unit</t>
      </is>
    </nc>
  </rcc>
  <rcc rId="1160" sId="4">
    <nc r="F1" t="inlineStr">
      <is>
        <t xml:space="preserve">Cost </t>
      </is>
    </nc>
  </rcc>
  <rcc rId="1161" sId="4">
    <nc r="A1" t="inlineStr">
      <is>
        <t>Reference</t>
      </is>
    </nc>
  </rcc>
  <rcc rId="1162" sId="4">
    <nc r="B1" t="inlineStr">
      <is>
        <t>Part</t>
      </is>
    </nc>
  </rcc>
  <rcc rId="1163" sId="4">
    <nc r="C1" t="inlineStr">
      <is>
        <t>Brand</t>
      </is>
    </nc>
  </rcc>
  <rcc rId="1164" sId="4">
    <nc r="D1" t="inlineStr">
      <is>
        <t>Quantity</t>
      </is>
    </nc>
  </rcc>
  <rcv guid="{85B28F95-3488-41DC-90A4-160F98D9658E}" action="delete"/>
  <rcv guid="{85B28F95-3488-41DC-90A4-160F98D9658E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186A-89FE-4CA6-AA68-692FD3F9CD8C}">
  <dimension ref="A1:H52"/>
  <sheetViews>
    <sheetView topLeftCell="A46" workbookViewId="0">
      <selection activeCell="C14" sqref="C14"/>
    </sheetView>
  </sheetViews>
  <sheetFormatPr defaultRowHeight="14.4" x14ac:dyDescent="0.3"/>
  <cols>
    <col min="2" max="2" width="16.5546875" customWidth="1"/>
    <col min="3" max="3" width="21.21875" customWidth="1"/>
    <col min="5" max="5" width="19.88671875" customWidth="1"/>
    <col min="7" max="8" width="11.77734375" customWidth="1"/>
  </cols>
  <sheetData>
    <row r="1" spans="1:8" ht="47.4" thickBot="1" x14ac:dyDescent="0.35">
      <c r="A1" s="17" t="s">
        <v>103</v>
      </c>
      <c r="B1" s="18" t="s">
        <v>104</v>
      </c>
      <c r="C1" s="18" t="s">
        <v>105</v>
      </c>
      <c r="D1" s="18" t="s">
        <v>106</v>
      </c>
      <c r="E1" s="18" t="s">
        <v>107</v>
      </c>
      <c r="G1" s="55" t="s">
        <v>170</v>
      </c>
      <c r="H1" s="55" t="s">
        <v>174</v>
      </c>
    </row>
    <row r="2" spans="1:8" ht="31.8" thickBot="1" x14ac:dyDescent="0.35">
      <c r="A2" s="19">
        <v>2</v>
      </c>
      <c r="B2" s="20" t="s">
        <v>108</v>
      </c>
      <c r="C2" s="26" t="s">
        <v>109</v>
      </c>
      <c r="D2" s="20">
        <v>1</v>
      </c>
      <c r="E2" s="20" t="s">
        <v>110</v>
      </c>
      <c r="G2" s="42" t="b">
        <v>1</v>
      </c>
      <c r="H2" s="42" t="b">
        <v>0</v>
      </c>
    </row>
    <row r="3" spans="1:8" ht="47.4" thickBot="1" x14ac:dyDescent="0.35">
      <c r="A3" s="21">
        <v>3</v>
      </c>
      <c r="B3" s="22" t="s">
        <v>41</v>
      </c>
      <c r="C3" s="23" t="s">
        <v>111</v>
      </c>
      <c r="D3" s="22">
        <v>1</v>
      </c>
      <c r="E3" s="22" t="s">
        <v>112</v>
      </c>
      <c r="G3" s="42" t="b">
        <v>1</v>
      </c>
      <c r="H3" s="42" t="b">
        <v>1</v>
      </c>
    </row>
    <row r="4" spans="1:8" ht="47.4" thickBot="1" x14ac:dyDescent="0.35">
      <c r="A4" s="19">
        <v>4</v>
      </c>
      <c r="B4" s="20" t="s">
        <v>113</v>
      </c>
      <c r="C4" s="20" t="s">
        <v>114</v>
      </c>
      <c r="D4" s="20">
        <v>1</v>
      </c>
      <c r="E4" s="20" t="s">
        <v>115</v>
      </c>
      <c r="G4" s="42" t="b">
        <v>1</v>
      </c>
      <c r="H4" s="42" t="b">
        <v>1</v>
      </c>
    </row>
    <row r="5" spans="1:8" ht="63" thickBot="1" x14ac:dyDescent="0.35">
      <c r="A5" s="21">
        <v>5</v>
      </c>
      <c r="B5" s="23" t="s">
        <v>116</v>
      </c>
      <c r="C5" s="23" t="s">
        <v>117</v>
      </c>
      <c r="D5" s="22">
        <v>1</v>
      </c>
      <c r="E5" s="22" t="s">
        <v>118</v>
      </c>
      <c r="G5" s="42" t="b">
        <v>1</v>
      </c>
      <c r="H5" s="42" t="b">
        <v>1</v>
      </c>
    </row>
    <row r="6" spans="1:8" ht="63" thickBot="1" x14ac:dyDescent="0.35">
      <c r="A6" s="19">
        <v>6</v>
      </c>
      <c r="B6" s="20" t="s">
        <v>119</v>
      </c>
      <c r="C6" s="20" t="s">
        <v>117</v>
      </c>
      <c r="D6" s="20">
        <v>1</v>
      </c>
      <c r="E6" s="20" t="s">
        <v>118</v>
      </c>
      <c r="G6" s="42" t="b">
        <v>1</v>
      </c>
      <c r="H6" s="42" t="b">
        <v>1</v>
      </c>
    </row>
    <row r="7" spans="1:8" ht="47.4" thickBot="1" x14ac:dyDescent="0.35">
      <c r="A7" s="21">
        <v>7</v>
      </c>
      <c r="B7" s="22" t="s">
        <v>120</v>
      </c>
      <c r="C7" s="22" t="s">
        <v>114</v>
      </c>
      <c r="D7" s="22">
        <v>1</v>
      </c>
      <c r="E7" s="22" t="s">
        <v>115</v>
      </c>
      <c r="G7" s="42" t="b">
        <v>1</v>
      </c>
      <c r="H7" s="42" t="b">
        <v>1</v>
      </c>
    </row>
    <row r="8" spans="1:8" ht="47.4" thickBot="1" x14ac:dyDescent="0.35">
      <c r="A8" s="19">
        <v>8</v>
      </c>
      <c r="B8" s="20" t="s">
        <v>121</v>
      </c>
      <c r="C8" s="20" t="s">
        <v>114</v>
      </c>
      <c r="D8" s="20">
        <v>1</v>
      </c>
      <c r="E8" s="20" t="s">
        <v>115</v>
      </c>
      <c r="G8" s="42" t="b">
        <v>1</v>
      </c>
      <c r="H8" s="42" t="b">
        <v>1</v>
      </c>
    </row>
    <row r="9" spans="1:8" ht="47.4" thickBot="1" x14ac:dyDescent="0.35">
      <c r="A9" s="21">
        <v>9</v>
      </c>
      <c r="B9" s="22" t="s">
        <v>122</v>
      </c>
      <c r="C9" s="22" t="s">
        <v>114</v>
      </c>
      <c r="D9" s="22">
        <v>1</v>
      </c>
      <c r="E9" s="22" t="s">
        <v>115</v>
      </c>
      <c r="G9" s="42" t="b">
        <v>1</v>
      </c>
      <c r="H9" s="42" t="b">
        <v>1</v>
      </c>
    </row>
    <row r="10" spans="1:8" ht="47.4" thickBot="1" x14ac:dyDescent="0.35">
      <c r="A10" s="19">
        <v>10</v>
      </c>
      <c r="B10" s="20" t="s">
        <v>123</v>
      </c>
      <c r="C10" s="20" t="s">
        <v>114</v>
      </c>
      <c r="D10" s="20">
        <v>1</v>
      </c>
      <c r="E10" s="20" t="s">
        <v>115</v>
      </c>
      <c r="G10" s="42" t="b">
        <v>1</v>
      </c>
      <c r="H10" s="42" t="b">
        <v>1</v>
      </c>
    </row>
    <row r="11" spans="1:8" ht="31.8" thickBot="1" x14ac:dyDescent="0.35">
      <c r="A11" s="21">
        <v>11</v>
      </c>
      <c r="B11" s="22" t="s">
        <v>124</v>
      </c>
      <c r="C11" s="22" t="s">
        <v>117</v>
      </c>
      <c r="D11" s="22">
        <v>1</v>
      </c>
      <c r="E11" s="22" t="s">
        <v>118</v>
      </c>
      <c r="G11" s="42" t="b">
        <v>1</v>
      </c>
      <c r="H11" s="42" t="b">
        <v>1</v>
      </c>
    </row>
    <row r="12" spans="1:8" ht="16.2" thickBot="1" x14ac:dyDescent="0.35">
      <c r="A12" s="19">
        <v>12</v>
      </c>
      <c r="B12" s="20" t="s">
        <v>156</v>
      </c>
      <c r="C12" s="24" t="s">
        <v>185</v>
      </c>
      <c r="D12" s="24">
        <v>1</v>
      </c>
      <c r="E12" s="20" t="s">
        <v>125</v>
      </c>
      <c r="G12" s="42" t="b">
        <v>1</v>
      </c>
      <c r="H12" s="42" t="b">
        <v>1</v>
      </c>
    </row>
    <row r="13" spans="1:8" ht="47.4" thickBot="1" x14ac:dyDescent="0.35">
      <c r="A13" s="60">
        <v>27</v>
      </c>
      <c r="B13" s="25" t="s">
        <v>180</v>
      </c>
      <c r="C13" s="61"/>
      <c r="D13" s="57">
        <v>12</v>
      </c>
      <c r="E13" s="57" t="s">
        <v>126</v>
      </c>
      <c r="G13" s="42" t="b">
        <v>1</v>
      </c>
      <c r="H13" s="42" t="b">
        <v>1</v>
      </c>
    </row>
    <row r="14" spans="1:8" ht="47.4" thickBot="1" x14ac:dyDescent="0.35">
      <c r="A14" s="27">
        <v>28</v>
      </c>
      <c r="B14" s="25" t="s">
        <v>181</v>
      </c>
      <c r="C14" s="56"/>
      <c r="D14" s="56">
        <v>4</v>
      </c>
      <c r="E14" s="57" t="s">
        <v>126</v>
      </c>
      <c r="G14" s="42" t="b">
        <v>1</v>
      </c>
      <c r="H14" s="42" t="b">
        <v>1</v>
      </c>
    </row>
    <row r="15" spans="1:8" ht="47.4" thickBot="1" x14ac:dyDescent="0.35">
      <c r="A15" s="60">
        <v>29</v>
      </c>
      <c r="B15" s="25" t="s">
        <v>182</v>
      </c>
      <c r="C15" s="61"/>
      <c r="D15" s="57">
        <v>12</v>
      </c>
      <c r="E15" s="57" t="s">
        <v>126</v>
      </c>
      <c r="G15" s="42" t="b">
        <v>1</v>
      </c>
      <c r="H15" s="42" t="b">
        <v>1</v>
      </c>
    </row>
    <row r="16" spans="1:8" ht="46.8" x14ac:dyDescent="0.3">
      <c r="A16" s="58">
        <v>30</v>
      </c>
      <c r="B16" s="28" t="s">
        <v>179</v>
      </c>
      <c r="C16" s="59"/>
      <c r="D16" s="59">
        <v>2</v>
      </c>
      <c r="E16" s="59" t="s">
        <v>126</v>
      </c>
      <c r="G16" s="42" t="b">
        <v>1</v>
      </c>
      <c r="H16" s="42" t="b">
        <v>1</v>
      </c>
    </row>
    <row r="17" spans="1:8" ht="47.4" thickBot="1" x14ac:dyDescent="0.35">
      <c r="A17" s="21">
        <v>31</v>
      </c>
      <c r="B17" s="23" t="s">
        <v>183</v>
      </c>
      <c r="C17" s="22"/>
      <c r="D17" s="22">
        <v>4</v>
      </c>
      <c r="E17" s="22" t="s">
        <v>171</v>
      </c>
      <c r="G17" s="42" t="b">
        <v>1</v>
      </c>
      <c r="H17" s="42" t="b">
        <v>1</v>
      </c>
    </row>
    <row r="18" spans="1:8" ht="31.8" thickBot="1" x14ac:dyDescent="0.35">
      <c r="A18" s="30">
        <v>32</v>
      </c>
      <c r="B18" s="26" t="s">
        <v>127</v>
      </c>
      <c r="C18" s="24"/>
      <c r="D18" s="20">
        <v>4</v>
      </c>
      <c r="E18" s="20" t="s">
        <v>128</v>
      </c>
      <c r="G18" s="42" t="b">
        <v>1</v>
      </c>
      <c r="H18" s="42" t="b">
        <v>1</v>
      </c>
    </row>
    <row r="19" spans="1:8" ht="31.8" thickBot="1" x14ac:dyDescent="0.35">
      <c r="A19" s="21">
        <v>33</v>
      </c>
      <c r="B19" s="22" t="s">
        <v>184</v>
      </c>
      <c r="C19" s="22"/>
      <c r="D19" s="22">
        <v>12</v>
      </c>
      <c r="E19" s="22"/>
      <c r="G19" s="42" t="b">
        <v>1</v>
      </c>
      <c r="H19" s="42" t="b">
        <v>1</v>
      </c>
    </row>
    <row r="20" spans="1:8" ht="31.8" thickBot="1" x14ac:dyDescent="0.35">
      <c r="A20" s="30">
        <v>34</v>
      </c>
      <c r="B20" s="20" t="s">
        <v>129</v>
      </c>
      <c r="C20" s="24"/>
      <c r="D20" s="20">
        <v>16</v>
      </c>
      <c r="E20" s="20" t="s">
        <v>130</v>
      </c>
      <c r="G20" s="42" t="b">
        <v>1</v>
      </c>
      <c r="H20" s="42" t="b">
        <v>1</v>
      </c>
    </row>
    <row r="21" spans="1:8" ht="31.8" thickBot="1" x14ac:dyDescent="0.35">
      <c r="A21" s="30">
        <v>35</v>
      </c>
      <c r="B21" s="22" t="s">
        <v>131</v>
      </c>
      <c r="C21" s="22"/>
      <c r="D21" s="22">
        <v>4</v>
      </c>
      <c r="E21" s="22" t="s">
        <v>132</v>
      </c>
      <c r="G21" s="42" t="b">
        <v>1</v>
      </c>
      <c r="H21" s="42" t="b">
        <v>1</v>
      </c>
    </row>
    <row r="22" spans="1:8" ht="16.2" thickBot="1" x14ac:dyDescent="0.35">
      <c r="A22" s="21">
        <v>36</v>
      </c>
      <c r="B22" s="20" t="s">
        <v>133</v>
      </c>
      <c r="C22" s="24"/>
      <c r="D22" s="20">
        <v>12</v>
      </c>
      <c r="E22" s="20" t="s">
        <v>134</v>
      </c>
      <c r="G22" s="42" t="b">
        <v>1</v>
      </c>
      <c r="H22" s="42" t="b">
        <v>1</v>
      </c>
    </row>
    <row r="23" spans="1:8" ht="16.2" thickBot="1" x14ac:dyDescent="0.35">
      <c r="A23" s="30">
        <v>37</v>
      </c>
      <c r="B23" s="22" t="s">
        <v>135</v>
      </c>
      <c r="C23" s="22"/>
      <c r="D23" s="22">
        <v>18</v>
      </c>
      <c r="E23" s="22" t="s">
        <v>134</v>
      </c>
      <c r="G23" s="42" t="b">
        <v>1</v>
      </c>
      <c r="H23" s="42" t="b">
        <v>1</v>
      </c>
    </row>
    <row r="24" spans="1:8" ht="16.2" thickBot="1" x14ac:dyDescent="0.35">
      <c r="A24" s="30">
        <v>38</v>
      </c>
      <c r="B24" s="22" t="s">
        <v>154</v>
      </c>
      <c r="C24" s="22" t="s">
        <v>186</v>
      </c>
      <c r="D24" s="22">
        <v>1</v>
      </c>
      <c r="E24" s="22"/>
      <c r="G24" s="42" t="b">
        <v>1</v>
      </c>
      <c r="H24" s="42" t="b">
        <v>1</v>
      </c>
    </row>
    <row r="25" spans="1:8" ht="31.8" thickBot="1" x14ac:dyDescent="0.35">
      <c r="A25" s="21">
        <v>39</v>
      </c>
      <c r="B25" s="22" t="s">
        <v>155</v>
      </c>
      <c r="C25" s="22" t="s">
        <v>137</v>
      </c>
      <c r="D25" s="22">
        <v>1</v>
      </c>
      <c r="E25" s="22"/>
      <c r="G25" s="42" t="b">
        <v>1</v>
      </c>
      <c r="H25" s="42" t="b">
        <v>1</v>
      </c>
    </row>
    <row r="26" spans="1:8" ht="31.8" thickBot="1" x14ac:dyDescent="0.35">
      <c r="A26" s="30">
        <v>40</v>
      </c>
      <c r="B26" s="28" t="s">
        <v>153</v>
      </c>
      <c r="C26" s="29" t="s">
        <v>137</v>
      </c>
      <c r="D26" s="29">
        <v>1</v>
      </c>
      <c r="E26" s="29"/>
      <c r="G26" s="42" t="b">
        <v>1</v>
      </c>
      <c r="H26" s="42" t="b">
        <v>1</v>
      </c>
    </row>
    <row r="27" spans="1:8" ht="31.8" thickBot="1" x14ac:dyDescent="0.35">
      <c r="A27" s="30">
        <v>41</v>
      </c>
      <c r="B27" s="22" t="s">
        <v>172</v>
      </c>
      <c r="C27" s="22" t="s">
        <v>187</v>
      </c>
      <c r="D27" s="22">
        <v>1</v>
      </c>
      <c r="E27" s="22"/>
      <c r="G27" s="42" t="b">
        <v>1</v>
      </c>
      <c r="H27" s="42" t="b">
        <v>1</v>
      </c>
    </row>
    <row r="28" spans="1:8" ht="16.2" thickBot="1" x14ac:dyDescent="0.35">
      <c r="A28" s="21">
        <v>42</v>
      </c>
      <c r="B28" s="22" t="s">
        <v>173</v>
      </c>
      <c r="C28" s="22" t="s">
        <v>137</v>
      </c>
      <c r="D28" s="22">
        <v>1</v>
      </c>
      <c r="E28" s="22"/>
      <c r="G28" s="42" t="b">
        <v>1</v>
      </c>
      <c r="H28" s="42" t="b">
        <v>1</v>
      </c>
    </row>
    <row r="29" spans="1:8" ht="16.2" thickBot="1" x14ac:dyDescent="0.35">
      <c r="A29" s="30">
        <v>43</v>
      </c>
      <c r="B29" s="20" t="s">
        <v>136</v>
      </c>
      <c r="C29" s="24" t="s">
        <v>188</v>
      </c>
      <c r="D29" s="20">
        <v>1</v>
      </c>
      <c r="E29" s="24"/>
      <c r="G29" s="42" t="b">
        <v>1</v>
      </c>
      <c r="H29" s="42" t="b">
        <v>1</v>
      </c>
    </row>
    <row r="30" spans="1:8" ht="16.2" thickBot="1" x14ac:dyDescent="0.35">
      <c r="A30" s="30">
        <v>44</v>
      </c>
      <c r="B30" s="23" t="s">
        <v>137</v>
      </c>
      <c r="C30" s="22"/>
      <c r="D30" s="22">
        <v>1</v>
      </c>
      <c r="E30" s="22"/>
      <c r="G30" s="42" t="b">
        <v>0</v>
      </c>
      <c r="H30" s="42" t="b">
        <v>0</v>
      </c>
    </row>
    <row r="31" spans="1:8" ht="31.8" thickBot="1" x14ac:dyDescent="0.35">
      <c r="A31" s="21">
        <v>45</v>
      </c>
      <c r="B31" s="26" t="s">
        <v>138</v>
      </c>
      <c r="C31" s="24"/>
      <c r="D31" s="20">
        <v>1</v>
      </c>
      <c r="E31" s="24"/>
      <c r="G31" s="42" t="b">
        <v>0</v>
      </c>
      <c r="H31" s="42" t="b">
        <v>0</v>
      </c>
    </row>
    <row r="34" spans="1:4" ht="226.8" x14ac:dyDescent="0.3">
      <c r="A34" s="31" t="s">
        <v>139</v>
      </c>
    </row>
    <row r="37" spans="1:4" ht="15" thickBot="1" x14ac:dyDescent="0.35"/>
    <row r="38" spans="1:4" ht="31.8" thickBot="1" x14ac:dyDescent="0.35">
      <c r="A38" s="32">
        <v>1</v>
      </c>
      <c r="B38" s="33" t="s">
        <v>140</v>
      </c>
      <c r="C38" s="33" t="s">
        <v>141</v>
      </c>
      <c r="D38" s="34">
        <v>1</v>
      </c>
    </row>
    <row r="39" spans="1:4" ht="31.8" thickBot="1" x14ac:dyDescent="0.35">
      <c r="A39" s="35">
        <v>13</v>
      </c>
      <c r="B39" s="36" t="s">
        <v>177</v>
      </c>
      <c r="C39" s="36" t="s">
        <v>142</v>
      </c>
      <c r="D39" s="37">
        <v>1</v>
      </c>
    </row>
    <row r="40" spans="1:4" ht="31.8" thickBot="1" x14ac:dyDescent="0.35">
      <c r="A40" s="50">
        <v>14</v>
      </c>
      <c r="B40" s="53" t="s">
        <v>157</v>
      </c>
      <c r="C40" s="48" t="s">
        <v>158</v>
      </c>
      <c r="D40" s="51">
        <v>1</v>
      </c>
    </row>
    <row r="41" spans="1:4" ht="31.8" customHeight="1" thickBot="1" x14ac:dyDescent="0.35">
      <c r="A41" s="50">
        <v>15</v>
      </c>
      <c r="B41" s="48" t="s">
        <v>178</v>
      </c>
      <c r="C41" s="48" t="s">
        <v>159</v>
      </c>
      <c r="D41" s="51">
        <v>2</v>
      </c>
    </row>
    <row r="42" spans="1:4" ht="16.2" thickBot="1" x14ac:dyDescent="0.35">
      <c r="A42" s="40">
        <v>16</v>
      </c>
      <c r="B42" s="41" t="s">
        <v>160</v>
      </c>
      <c r="C42" s="46" t="s">
        <v>161</v>
      </c>
      <c r="D42" s="47">
        <v>1</v>
      </c>
    </row>
    <row r="43" spans="1:4" ht="16.8" customHeight="1" thickBot="1" x14ac:dyDescent="0.35">
      <c r="A43" s="52">
        <v>17</v>
      </c>
      <c r="B43" s="39" t="s">
        <v>162</v>
      </c>
      <c r="C43" s="48" t="s">
        <v>163</v>
      </c>
      <c r="D43" s="49">
        <v>1</v>
      </c>
    </row>
    <row r="44" spans="1:4" ht="16.2" thickBot="1" x14ac:dyDescent="0.35">
      <c r="A44" s="40">
        <v>18</v>
      </c>
      <c r="B44" s="41" t="s">
        <v>164</v>
      </c>
      <c r="C44" s="46" t="s">
        <v>163</v>
      </c>
      <c r="D44" s="47">
        <v>1</v>
      </c>
    </row>
    <row r="45" spans="1:4" ht="31.8" thickBot="1" x14ac:dyDescent="0.35">
      <c r="A45" s="54">
        <v>19</v>
      </c>
      <c r="B45" s="53" t="s">
        <v>167</v>
      </c>
      <c r="C45" s="48" t="s">
        <v>168</v>
      </c>
      <c r="D45" s="49">
        <v>1</v>
      </c>
    </row>
    <row r="46" spans="1:4" ht="16.2" thickBot="1" x14ac:dyDescent="0.35">
      <c r="A46" s="44">
        <v>20</v>
      </c>
      <c r="B46" s="38" t="s">
        <v>143</v>
      </c>
      <c r="C46" s="48" t="s">
        <v>144</v>
      </c>
      <c r="D46" s="49">
        <v>1</v>
      </c>
    </row>
    <row r="47" spans="1:4" ht="16.2" thickBot="1" x14ac:dyDescent="0.35">
      <c r="A47" s="43">
        <v>21</v>
      </c>
      <c r="B47" s="41" t="s">
        <v>145</v>
      </c>
      <c r="C47" s="46" t="s">
        <v>146</v>
      </c>
      <c r="D47" s="47">
        <v>1</v>
      </c>
    </row>
    <row r="48" spans="1:4" ht="46.8" customHeight="1" thickBot="1" x14ac:dyDescent="0.35">
      <c r="A48" s="44">
        <v>22</v>
      </c>
      <c r="B48" s="38" t="s">
        <v>147</v>
      </c>
      <c r="C48" s="48" t="s">
        <v>146</v>
      </c>
      <c r="D48" s="49">
        <v>1</v>
      </c>
    </row>
    <row r="49" spans="1:4" ht="46.8" customHeight="1" thickBot="1" x14ac:dyDescent="0.35">
      <c r="A49" s="43">
        <v>23</v>
      </c>
      <c r="B49" s="41" t="s">
        <v>148</v>
      </c>
      <c r="C49" s="46" t="s">
        <v>146</v>
      </c>
      <c r="D49" s="47">
        <v>1</v>
      </c>
    </row>
    <row r="50" spans="1:4" ht="46.8" customHeight="1" thickBot="1" x14ac:dyDescent="0.35">
      <c r="A50" s="45">
        <v>24</v>
      </c>
      <c r="B50" s="38" t="s">
        <v>149</v>
      </c>
      <c r="C50" s="48" t="s">
        <v>146</v>
      </c>
      <c r="D50" s="49">
        <v>1</v>
      </c>
    </row>
    <row r="51" spans="1:4" ht="46.8" customHeight="1" thickBot="1" x14ac:dyDescent="0.35">
      <c r="A51" s="44">
        <v>25</v>
      </c>
      <c r="B51" s="41" t="s">
        <v>150</v>
      </c>
      <c r="C51" s="46" t="s">
        <v>146</v>
      </c>
      <c r="D51" s="47">
        <v>1</v>
      </c>
    </row>
    <row r="52" spans="1:4" ht="46.8" customHeight="1" x14ac:dyDescent="0.3">
      <c r="A52" s="43">
        <v>26</v>
      </c>
      <c r="B52" s="38" t="s">
        <v>151</v>
      </c>
      <c r="C52" s="48" t="s">
        <v>146</v>
      </c>
      <c r="D52" s="49">
        <v>1</v>
      </c>
    </row>
  </sheetData>
  <customSheetViews>
    <customSheetView guid="{85B28F95-3488-41DC-90A4-160F98D9658E}" topLeftCell="A46">
      <selection activeCell="C14" sqref="C14"/>
      <pageMargins left="0.7" right="0.7" top="0.75" bottom="0.75" header="0.3" footer="0.3"/>
      <pageSetup orientation="portrait" r:id="rId1"/>
    </customSheetView>
    <customSheetView guid="{5F732A23-763A-43CE-844F-98E769D3D5C8}" topLeftCell="A19">
      <selection activeCell="C29" sqref="C29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C70D-088D-47BD-A91C-99C4675A6A1B}">
  <dimension ref="A1:G46"/>
  <sheetViews>
    <sheetView workbookViewId="0">
      <selection activeCell="D45" sqref="D45"/>
    </sheetView>
  </sheetViews>
  <sheetFormatPr defaultRowHeight="14.4" x14ac:dyDescent="0.3"/>
  <cols>
    <col min="2" max="2" width="10.44140625" customWidth="1"/>
    <col min="3" max="3" width="28.77734375" customWidth="1"/>
    <col min="4" max="4" width="16.109375" customWidth="1"/>
    <col min="7" max="7" width="27.6640625" customWidth="1"/>
  </cols>
  <sheetData>
    <row r="1" spans="1:7" ht="15" thickBot="1" x14ac:dyDescent="0.35">
      <c r="A1" s="6">
        <f>BOM_word!A38</f>
        <v>1</v>
      </c>
      <c r="B1" s="7">
        <f>BOM_word!D38</f>
        <v>1</v>
      </c>
      <c r="C1" s="8" t="str">
        <f>BOM_word!B38</f>
        <v>Printed Circuit Board</v>
      </c>
      <c r="D1" s="8"/>
      <c r="E1" s="8"/>
      <c r="F1" s="9" t="s">
        <v>175</v>
      </c>
      <c r="G1" s="16" t="s">
        <v>176</v>
      </c>
    </row>
    <row r="2" spans="1:7" ht="15" thickBot="1" x14ac:dyDescent="0.35">
      <c r="A2" s="13">
        <f>BOM_word!A2</f>
        <v>2</v>
      </c>
      <c r="B2" s="14">
        <f>BOM_word!D2</f>
        <v>1</v>
      </c>
      <c r="C2" s="15" t="str">
        <f>BOM_word!B2</f>
        <v>PCB Mount</v>
      </c>
      <c r="D2" s="15" t="str">
        <f>BOM_word!E2</f>
        <v>ISO 21305-1:2019</v>
      </c>
      <c r="E2" s="15"/>
      <c r="F2" s="9" t="s">
        <v>175</v>
      </c>
      <c r="G2" s="16" t="str">
        <f>BOM_word!C2</f>
        <v>General Purpose Polycarbonate</v>
      </c>
    </row>
    <row r="3" spans="1:7" ht="15" thickBot="1" x14ac:dyDescent="0.35">
      <c r="A3" s="13">
        <f>BOM_word!A3</f>
        <v>3</v>
      </c>
      <c r="B3" s="14">
        <f>BOM_word!D3</f>
        <v>1</v>
      </c>
      <c r="C3" s="15" t="str">
        <f>BOM_word!B3</f>
        <v>Battery Cradle</v>
      </c>
      <c r="D3" s="15" t="str">
        <f>BOM_word!E3</f>
        <v>ISO 2580-1 ABS</v>
      </c>
      <c r="E3" s="15"/>
      <c r="F3" s="9" t="s">
        <v>175</v>
      </c>
      <c r="G3" s="16" t="str">
        <f>BOM_word!C3</f>
        <v>Heat resistant ABS</v>
      </c>
    </row>
    <row r="4" spans="1:7" ht="15" thickBot="1" x14ac:dyDescent="0.35">
      <c r="A4" s="13">
        <f>BOM_word!A4</f>
        <v>4</v>
      </c>
      <c r="B4" s="14">
        <f>BOM_word!D4</f>
        <v>1</v>
      </c>
      <c r="C4" s="15" t="str">
        <f>BOM_word!B4</f>
        <v>Panel Frame</v>
      </c>
      <c r="D4" s="15" t="str">
        <f>BOM_word!E4</f>
        <v>ISO: Al-Mg2,5</v>
      </c>
      <c r="E4" s="15"/>
      <c r="F4" s="9" t="s">
        <v>175</v>
      </c>
      <c r="G4" s="16" t="str">
        <f>BOM_word!C4</f>
        <v>5052 Aluminium</v>
      </c>
    </row>
    <row r="5" spans="1:7" ht="15" thickBot="1" x14ac:dyDescent="0.35">
      <c r="A5" s="13">
        <f>BOM_word!A5</f>
        <v>5</v>
      </c>
      <c r="B5" s="14">
        <f>BOM_word!D5</f>
        <v>1</v>
      </c>
      <c r="C5" s="15" t="str">
        <f>BOM_word!B5</f>
        <v>Load Cell Compartment</v>
      </c>
      <c r="D5" s="15" t="str">
        <f>BOM_word!E5</f>
        <v>Make</v>
      </c>
      <c r="E5" s="15"/>
      <c r="F5" s="9" t="s">
        <v>175</v>
      </c>
      <c r="G5" s="16" t="str">
        <f>BOM_word!C5</f>
        <v>Medium Density EVA Foam</v>
      </c>
    </row>
    <row r="6" spans="1:7" ht="15" thickBot="1" x14ac:dyDescent="0.35">
      <c r="A6" s="13">
        <f>BOM_word!A6</f>
        <v>6</v>
      </c>
      <c r="B6" s="14">
        <f>BOM_word!D6</f>
        <v>1</v>
      </c>
      <c r="C6" s="15" t="str">
        <f>BOM_word!B6</f>
        <v>Aluminium Box Foam</v>
      </c>
      <c r="D6" s="15" t="str">
        <f>BOM_word!E6</f>
        <v>Make</v>
      </c>
      <c r="E6" s="15"/>
      <c r="F6" s="9" t="s">
        <v>175</v>
      </c>
      <c r="G6" s="16" t="str">
        <f>BOM_word!C6</f>
        <v>Medium Density EVA Foam</v>
      </c>
    </row>
    <row r="7" spans="1:7" ht="15" thickBot="1" x14ac:dyDescent="0.35">
      <c r="A7" s="13">
        <f>BOM_word!A7</f>
        <v>7</v>
      </c>
      <c r="B7" s="14">
        <f>BOM_word!D7</f>
        <v>1</v>
      </c>
      <c r="C7" s="15" t="str">
        <f>BOM_word!B7</f>
        <v>Electronics Basin</v>
      </c>
      <c r="D7" s="15" t="str">
        <f>BOM_word!E7</f>
        <v>ISO: Al-Mg2,5</v>
      </c>
      <c r="E7" s="15"/>
      <c r="F7" s="9" t="s">
        <v>175</v>
      </c>
      <c r="G7" s="16" t="str">
        <f>BOM_word!C7</f>
        <v>5052 Aluminium</v>
      </c>
    </row>
    <row r="8" spans="1:7" ht="15" thickBot="1" x14ac:dyDescent="0.35">
      <c r="A8" s="13">
        <f>BOM_word!A8</f>
        <v>8</v>
      </c>
      <c r="B8" s="14">
        <f>BOM_word!D8</f>
        <v>1</v>
      </c>
      <c r="C8" s="15" t="str">
        <f>BOM_word!B8</f>
        <v>Aluminium Frame</v>
      </c>
      <c r="D8" s="15" t="str">
        <f>BOM_word!E8</f>
        <v>ISO: Al-Mg2,5</v>
      </c>
      <c r="E8" s="15"/>
      <c r="F8" s="9" t="s">
        <v>175</v>
      </c>
      <c r="G8" s="16" t="str">
        <f>BOM_word!C8</f>
        <v>5052 Aluminium</v>
      </c>
    </row>
    <row r="9" spans="1:7" ht="15" thickBot="1" x14ac:dyDescent="0.35">
      <c r="A9" s="13">
        <f>BOM_word!A9</f>
        <v>9</v>
      </c>
      <c r="B9" s="14">
        <f>BOM_word!D9</f>
        <v>1</v>
      </c>
      <c r="C9" s="15" t="str">
        <f>BOM_word!B9</f>
        <v>Panel</v>
      </c>
      <c r="D9" s="15" t="str">
        <f>BOM_word!E9</f>
        <v>ISO: Al-Mg2,5</v>
      </c>
      <c r="E9" s="15"/>
      <c r="F9" s="9" t="s">
        <v>175</v>
      </c>
      <c r="G9" s="16" t="str">
        <f>BOM_word!C9</f>
        <v>5052 Aluminium</v>
      </c>
    </row>
    <row r="10" spans="1:7" ht="15" thickBot="1" x14ac:dyDescent="0.35">
      <c r="A10" s="13">
        <f>BOM_word!A10</f>
        <v>10</v>
      </c>
      <c r="B10" s="14">
        <f>BOM_word!D10</f>
        <v>1</v>
      </c>
      <c r="C10" s="15" t="str">
        <f>BOM_word!B10</f>
        <v>Cable Tray</v>
      </c>
      <c r="D10" s="15" t="str">
        <f>BOM_word!E10</f>
        <v>ISO: Al-Mg2,5</v>
      </c>
      <c r="E10" s="15"/>
      <c r="F10" s="9" t="s">
        <v>175</v>
      </c>
      <c r="G10" s="16" t="str">
        <f>BOM_word!C10</f>
        <v>5052 Aluminium</v>
      </c>
    </row>
    <row r="11" spans="1:7" ht="15" thickBot="1" x14ac:dyDescent="0.35">
      <c r="A11" s="13">
        <f>BOM_word!A11</f>
        <v>11</v>
      </c>
      <c r="B11" s="14">
        <f>BOM_word!D11</f>
        <v>1</v>
      </c>
      <c r="C11" s="15" t="str">
        <f>BOM_word!B11</f>
        <v>Top Foam</v>
      </c>
      <c r="D11" s="15" t="str">
        <f>BOM_word!E11</f>
        <v>Make</v>
      </c>
      <c r="E11" s="15"/>
      <c r="F11" s="9" t="s">
        <v>175</v>
      </c>
      <c r="G11" s="16" t="str">
        <f>BOM_word!C11</f>
        <v>Medium Density EVA Foam</v>
      </c>
    </row>
    <row r="12" spans="1:7" ht="15" thickBot="1" x14ac:dyDescent="0.35">
      <c r="A12" s="13">
        <f>BOM_word!A12</f>
        <v>12</v>
      </c>
      <c r="B12" s="14">
        <f>BOM_word!D12</f>
        <v>1</v>
      </c>
      <c r="C12" s="15" t="str">
        <f>BOM_word!B12</f>
        <v>Pelican Case</v>
      </c>
      <c r="D12" s="15" t="str">
        <f>BOM_word!E12</f>
        <v>Modify</v>
      </c>
      <c r="E12" s="15"/>
      <c r="F12" s="9" t="s">
        <v>175</v>
      </c>
      <c r="G12" s="16" t="str">
        <f>BOM_word!C12</f>
        <v>Polypropylene</v>
      </c>
    </row>
    <row r="13" spans="1:7" ht="15" thickBot="1" x14ac:dyDescent="0.35">
      <c r="A13" s="13">
        <f>BOM_word!A39</f>
        <v>13</v>
      </c>
      <c r="B13" s="14">
        <f>BOM_word!D39</f>
        <v>1</v>
      </c>
      <c r="C13" s="15" t="str">
        <f>BOM_word!B39</f>
        <v xml:space="preserve">M12 Load Cell Cable </v>
      </c>
      <c r="D13" s="15"/>
      <c r="E13" s="15"/>
      <c r="F13" s="9" t="s">
        <v>175</v>
      </c>
      <c r="G13" s="16"/>
    </row>
    <row r="14" spans="1:7" ht="15" thickBot="1" x14ac:dyDescent="0.35">
      <c r="A14" s="13">
        <f>BOM_word!A40</f>
        <v>14</v>
      </c>
      <c r="B14" s="14">
        <f>BOM_word!D40</f>
        <v>1</v>
      </c>
      <c r="C14" s="15" t="str">
        <f>BOM_word!B40</f>
        <v>TouchScreen/SPI Touch Controller</v>
      </c>
      <c r="D14" s="15"/>
      <c r="E14" s="15"/>
      <c r="F14" s="9" t="s">
        <v>175</v>
      </c>
      <c r="G14" s="16"/>
    </row>
    <row r="15" spans="1:7" ht="15" thickBot="1" x14ac:dyDescent="0.35">
      <c r="A15" s="13">
        <f>BOM_word!A41</f>
        <v>15</v>
      </c>
      <c r="B15" s="14">
        <f>BOM_word!D41</f>
        <v>2</v>
      </c>
      <c r="C15" s="15" t="str">
        <f>BOM_word!B41</f>
        <v>Push Buttons</v>
      </c>
      <c r="D15" s="15"/>
      <c r="E15" s="15"/>
      <c r="F15" s="9" t="s">
        <v>175</v>
      </c>
      <c r="G15" s="16"/>
    </row>
    <row r="16" spans="1:7" ht="15" thickBot="1" x14ac:dyDescent="0.35">
      <c r="A16" s="13">
        <f>BOM_word!A42</f>
        <v>16</v>
      </c>
      <c r="B16" s="14">
        <f>BOM_word!D42</f>
        <v>1</v>
      </c>
      <c r="C16" s="15" t="str">
        <f>BOM_word!B42</f>
        <v xml:space="preserve">M12 5-pin </v>
      </c>
      <c r="D16" s="15"/>
      <c r="E16" s="15"/>
      <c r="F16" s="9" t="s">
        <v>175</v>
      </c>
      <c r="G16" s="16"/>
    </row>
    <row r="17" spans="1:7" ht="15" thickBot="1" x14ac:dyDescent="0.35">
      <c r="A17" s="13">
        <f>BOM_word!A43</f>
        <v>17</v>
      </c>
      <c r="B17" s="14">
        <f>BOM_word!D43</f>
        <v>1</v>
      </c>
      <c r="C17" s="15" t="str">
        <f>BOM_word!B43</f>
        <v xml:space="preserve">USB A </v>
      </c>
      <c r="D17" s="15"/>
      <c r="E17" s="15"/>
      <c r="F17" s="9" t="s">
        <v>175</v>
      </c>
      <c r="G17" s="16"/>
    </row>
    <row r="18" spans="1:7" ht="15" thickBot="1" x14ac:dyDescent="0.35">
      <c r="A18" s="13">
        <f>BOM_word!A44</f>
        <v>18</v>
      </c>
      <c r="B18" s="14">
        <f>BOM_word!D44</f>
        <v>1</v>
      </c>
      <c r="C18" s="15" t="str">
        <f>BOM_word!B44</f>
        <v xml:space="preserve">USB C </v>
      </c>
      <c r="D18" s="15"/>
      <c r="E18" s="15"/>
      <c r="F18" s="9" t="s">
        <v>175</v>
      </c>
      <c r="G18" s="16"/>
    </row>
    <row r="19" spans="1:7" ht="15" thickBot="1" x14ac:dyDescent="0.35">
      <c r="A19" s="13">
        <f>BOM_word!A45</f>
        <v>19</v>
      </c>
      <c r="B19" s="14">
        <f>BOM_word!D45</f>
        <v>1</v>
      </c>
      <c r="C19" s="15" t="str">
        <f>BOM_word!B45</f>
        <v xml:space="preserve">Bi-colour LED Light Pipe </v>
      </c>
      <c r="D19" s="15"/>
      <c r="E19" s="15"/>
      <c r="F19" s="9" t="s">
        <v>175</v>
      </c>
      <c r="G19" s="16"/>
    </row>
    <row r="20" spans="1:7" ht="15" thickBot="1" x14ac:dyDescent="0.35">
      <c r="A20" s="13">
        <f>BOM_word!A46</f>
        <v>20</v>
      </c>
      <c r="B20" s="14">
        <f>BOM_word!D46</f>
        <v>1</v>
      </c>
      <c r="C20" s="15" t="str">
        <f>BOM_word!B46</f>
        <v>Battery</v>
      </c>
      <c r="D20" s="15"/>
      <c r="E20" s="15"/>
      <c r="F20" s="9" t="s">
        <v>175</v>
      </c>
      <c r="G20" s="16"/>
    </row>
    <row r="21" spans="1:7" ht="15" thickBot="1" x14ac:dyDescent="0.35">
      <c r="A21" s="13">
        <f>BOM_word!A47</f>
        <v>21</v>
      </c>
      <c r="B21" s="14">
        <f>BOM_word!D47</f>
        <v>1</v>
      </c>
      <c r="C21" s="15" t="str">
        <f>BOM_word!B47</f>
        <v>150 gf Load Cell</v>
      </c>
      <c r="D21" s="15"/>
      <c r="E21" s="15"/>
      <c r="F21" s="9" t="s">
        <v>175</v>
      </c>
      <c r="G21" s="16"/>
    </row>
    <row r="22" spans="1:7" ht="15" thickBot="1" x14ac:dyDescent="0.35">
      <c r="A22" s="13">
        <f>BOM_word!A48</f>
        <v>22</v>
      </c>
      <c r="B22" s="14">
        <f>BOM_word!D48</f>
        <v>1</v>
      </c>
      <c r="C22" s="15" t="str">
        <f>BOM_word!B48</f>
        <v>2 kgf Load Cell</v>
      </c>
      <c r="D22" s="15"/>
      <c r="E22" s="15"/>
      <c r="F22" s="9" t="s">
        <v>175</v>
      </c>
      <c r="G22" s="16"/>
    </row>
    <row r="23" spans="1:7" ht="15" thickBot="1" x14ac:dyDescent="0.35">
      <c r="A23" s="13">
        <f>BOM_word!A49</f>
        <v>23</v>
      </c>
      <c r="B23" s="14">
        <f>BOM_word!D49</f>
        <v>1</v>
      </c>
      <c r="C23" s="15" t="str">
        <f>BOM_word!B49</f>
        <v>20 kgf Load Cell</v>
      </c>
      <c r="D23" s="15"/>
      <c r="E23" s="15"/>
      <c r="F23" s="9" t="s">
        <v>175</v>
      </c>
      <c r="G23" s="16"/>
    </row>
    <row r="24" spans="1:7" ht="15" thickBot="1" x14ac:dyDescent="0.35">
      <c r="A24" s="13">
        <f>BOM_word!A50</f>
        <v>24</v>
      </c>
      <c r="B24" s="14">
        <f>BOM_word!D50</f>
        <v>1</v>
      </c>
      <c r="C24" s="15" t="str">
        <f>BOM_word!B50</f>
        <v>45 kgf Load Cell</v>
      </c>
      <c r="D24" s="15"/>
      <c r="E24" s="15"/>
      <c r="F24" s="9" t="s">
        <v>175</v>
      </c>
      <c r="G24" s="16"/>
    </row>
    <row r="25" spans="1:7" ht="15" thickBot="1" x14ac:dyDescent="0.35">
      <c r="A25" s="13">
        <f>BOM_word!A51</f>
        <v>25</v>
      </c>
      <c r="B25" s="14">
        <f>BOM_word!D51</f>
        <v>1</v>
      </c>
      <c r="C25" s="15" t="str">
        <f>BOM_word!B51</f>
        <v>250 kgf Load Cell</v>
      </c>
      <c r="D25" s="15"/>
      <c r="E25" s="15"/>
      <c r="F25" s="9" t="s">
        <v>175</v>
      </c>
      <c r="G25" s="16"/>
    </row>
    <row r="26" spans="1:7" ht="15" thickBot="1" x14ac:dyDescent="0.35">
      <c r="A26" s="13">
        <f>BOM_word!A52</f>
        <v>26</v>
      </c>
      <c r="B26" s="14">
        <f>BOM_word!D52</f>
        <v>1</v>
      </c>
      <c r="C26" s="15" t="str">
        <f>BOM_word!B52</f>
        <v>3000 kgf Load Cell</v>
      </c>
      <c r="D26" s="15"/>
      <c r="E26" s="15"/>
      <c r="F26" s="9" t="s">
        <v>175</v>
      </c>
      <c r="G26" s="16"/>
    </row>
    <row r="27" spans="1:7" ht="15" thickBot="1" x14ac:dyDescent="0.35">
      <c r="A27" s="13">
        <f>BOM_word!A13</f>
        <v>27</v>
      </c>
      <c r="B27" s="14">
        <f>BOM_word!D13</f>
        <v>12</v>
      </c>
      <c r="C27" s="15" t="str">
        <f>BOM_word!B13</f>
        <v>M4 x 0.7 x 12  Button Head Screws</v>
      </c>
      <c r="D27" s="15" t="str">
        <f>BOM_word!E13</f>
        <v>ISO 7380</v>
      </c>
      <c r="E27" s="15"/>
      <c r="F27" s="9" t="s">
        <v>175</v>
      </c>
      <c r="G27" s="16">
        <f>BOM_word!C13</f>
        <v>0</v>
      </c>
    </row>
    <row r="28" spans="1:7" ht="15" thickBot="1" x14ac:dyDescent="0.35">
      <c r="A28" s="13">
        <f>BOM_word!A14</f>
        <v>28</v>
      </c>
      <c r="B28" s="14">
        <f>BOM_word!D14</f>
        <v>4</v>
      </c>
      <c r="C28" s="15" t="str">
        <f>BOM_word!B14</f>
        <v>M3 x 0.5 x 10 Button Head Screws</v>
      </c>
      <c r="D28" s="15" t="str">
        <f>BOM_word!E14</f>
        <v>ISO 7380</v>
      </c>
      <c r="E28" s="15"/>
      <c r="F28" s="9" t="s">
        <v>175</v>
      </c>
      <c r="G28" s="16">
        <f>BOM_word!C14</f>
        <v>0</v>
      </c>
    </row>
    <row r="29" spans="1:7" ht="15" thickBot="1" x14ac:dyDescent="0.35">
      <c r="A29" s="13">
        <f>BOM_word!A15</f>
        <v>29</v>
      </c>
      <c r="B29" s="14">
        <f>BOM_word!D15</f>
        <v>12</v>
      </c>
      <c r="C29" s="15" t="str">
        <f>BOM_word!B15</f>
        <v>M3 x 0.5 x 8 Button Head Screws</v>
      </c>
      <c r="D29" s="15" t="str">
        <f>BOM_word!E15</f>
        <v>ISO 7380</v>
      </c>
      <c r="E29" s="15"/>
      <c r="F29" s="9" t="s">
        <v>175</v>
      </c>
      <c r="G29" s="16">
        <f>BOM_word!C15</f>
        <v>0</v>
      </c>
    </row>
    <row r="30" spans="1:7" ht="15" thickBot="1" x14ac:dyDescent="0.35">
      <c r="A30" s="13">
        <f>BOM_word!A16</f>
        <v>30</v>
      </c>
      <c r="B30" s="14">
        <f>BOM_word!D16</f>
        <v>2</v>
      </c>
      <c r="C30" s="15" t="str">
        <f>BOM_word!B16</f>
        <v>M3 x 0.5 x 6 Button Head Screws</v>
      </c>
      <c r="D30" s="15" t="str">
        <f>BOM_word!E16</f>
        <v>ISO 7380</v>
      </c>
      <c r="E30" s="15"/>
      <c r="F30" s="9" t="s">
        <v>175</v>
      </c>
      <c r="G30" s="16">
        <f>BOM_word!C16</f>
        <v>0</v>
      </c>
    </row>
    <row r="31" spans="1:7" ht="15" thickBot="1" x14ac:dyDescent="0.35">
      <c r="A31" s="13">
        <f>BOM_word!A17</f>
        <v>31</v>
      </c>
      <c r="B31" s="14">
        <f>BOM_word!D17</f>
        <v>4</v>
      </c>
      <c r="C31" s="15" t="str">
        <f>BOM_word!B17</f>
        <v>M2 x 0.4 x 16 Slotted Pan Head Screw</v>
      </c>
      <c r="D31" s="15" t="str">
        <f>BOM_word!E17</f>
        <v>ISO 1580</v>
      </c>
      <c r="E31" s="15"/>
      <c r="F31" s="9" t="s">
        <v>175</v>
      </c>
      <c r="G31" s="16">
        <f>BOM_word!C17</f>
        <v>0</v>
      </c>
    </row>
    <row r="32" spans="1:7" ht="15" thickBot="1" x14ac:dyDescent="0.35">
      <c r="A32" s="13">
        <f>BOM_word!A18</f>
        <v>32</v>
      </c>
      <c r="B32" s="14">
        <f>BOM_word!D18</f>
        <v>4</v>
      </c>
      <c r="C32" s="15" t="str">
        <f>BOM_word!B18</f>
        <v>ST2.9 x 9.5 Tapping Screws</v>
      </c>
      <c r="D32" s="15" t="str">
        <f>BOM_word!E18</f>
        <v>ISO 14585</v>
      </c>
      <c r="E32" s="15"/>
      <c r="F32" s="9" t="s">
        <v>175</v>
      </c>
      <c r="G32" s="16">
        <f>BOM_word!C18</f>
        <v>0</v>
      </c>
    </row>
    <row r="33" spans="1:7" ht="15" thickBot="1" x14ac:dyDescent="0.35">
      <c r="A33" s="13">
        <f>BOM_word!A19</f>
        <v>33</v>
      </c>
      <c r="B33" s="14">
        <f>BOM_word!D19</f>
        <v>12</v>
      </c>
      <c r="C33" s="15" t="str">
        <f>BOM_word!B19</f>
        <v>M4 x 0.7 x 9.2 Rivet Nuts</v>
      </c>
      <c r="D33" s="15">
        <f>BOM_word!E19</f>
        <v>0</v>
      </c>
      <c r="E33" s="15"/>
      <c r="F33" s="9" t="s">
        <v>175</v>
      </c>
      <c r="G33" s="16">
        <f>BOM_word!C19</f>
        <v>0</v>
      </c>
    </row>
    <row r="34" spans="1:7" ht="15" thickBot="1" x14ac:dyDescent="0.35">
      <c r="A34" s="13">
        <f>BOM_word!A20</f>
        <v>34</v>
      </c>
      <c r="B34" s="14">
        <f>BOM_word!D20</f>
        <v>16</v>
      </c>
      <c r="C34" s="15" t="str">
        <f>BOM_word!B20</f>
        <v>M3 x 0.5 Hex Nuts</v>
      </c>
      <c r="D34" s="15" t="str">
        <f>BOM_word!E20</f>
        <v>ISO 4032</v>
      </c>
      <c r="E34" s="15"/>
      <c r="F34" s="9" t="s">
        <v>175</v>
      </c>
      <c r="G34" s="16">
        <f>BOM_word!C20</f>
        <v>0</v>
      </c>
    </row>
    <row r="35" spans="1:7" ht="15" thickBot="1" x14ac:dyDescent="0.35">
      <c r="A35" s="13">
        <f>BOM_word!A21</f>
        <v>35</v>
      </c>
      <c r="B35" s="14">
        <f>BOM_word!D21</f>
        <v>4</v>
      </c>
      <c r="C35" s="15" t="str">
        <f>BOM_word!B21</f>
        <v>M2 x 0.4 Hex Nuts</v>
      </c>
      <c r="D35" s="15" t="str">
        <f>BOM_word!E21</f>
        <v>ISO 4035</v>
      </c>
      <c r="E35" s="5"/>
      <c r="F35" s="9" t="s">
        <v>175</v>
      </c>
      <c r="G35" s="16">
        <f>BOM_word!C21</f>
        <v>0</v>
      </c>
    </row>
    <row r="36" spans="1:7" ht="15" thickBot="1" x14ac:dyDescent="0.35">
      <c r="A36" s="13">
        <f>BOM_word!A22</f>
        <v>36</v>
      </c>
      <c r="B36" s="14">
        <f>BOM_word!D22</f>
        <v>12</v>
      </c>
      <c r="C36" s="15" t="str">
        <f>BOM_word!B22</f>
        <v>M4 Washers</v>
      </c>
      <c r="D36" s="15" t="str">
        <f>BOM_word!E22</f>
        <v>ISO 7092</v>
      </c>
      <c r="E36" s="5"/>
      <c r="F36" s="9" t="s">
        <v>175</v>
      </c>
      <c r="G36" s="16">
        <f>BOM_word!C22</f>
        <v>0</v>
      </c>
    </row>
    <row r="37" spans="1:7" ht="15" thickBot="1" x14ac:dyDescent="0.35">
      <c r="A37" s="13">
        <f>BOM_word!A23</f>
        <v>37</v>
      </c>
      <c r="B37" s="14">
        <f>BOM_word!D23</f>
        <v>18</v>
      </c>
      <c r="C37" s="15" t="str">
        <f>BOM_word!B23</f>
        <v>M3 Washers</v>
      </c>
      <c r="D37" s="15" t="str">
        <f>BOM_word!E23</f>
        <v>ISO 7092</v>
      </c>
      <c r="E37" s="5"/>
      <c r="F37" s="9" t="s">
        <v>175</v>
      </c>
      <c r="G37" s="16">
        <f>BOM_word!C23</f>
        <v>0</v>
      </c>
    </row>
    <row r="38" spans="1:7" ht="15" thickBot="1" x14ac:dyDescent="0.35">
      <c r="A38" s="13">
        <f>BOM_word!A24</f>
        <v>38</v>
      </c>
      <c r="B38" s="14">
        <f>BOM_word!D24</f>
        <v>1</v>
      </c>
      <c r="C38" s="15" t="str">
        <f>BOM_word!B24</f>
        <v>O-ring</v>
      </c>
      <c r="D38" s="15">
        <f>BOM_word!E24</f>
        <v>0</v>
      </c>
      <c r="E38" s="5"/>
      <c r="F38" s="9" t="s">
        <v>175</v>
      </c>
      <c r="G38" s="16" t="str">
        <f>BOM_word!C24</f>
        <v>Silicone Rubber</v>
      </c>
    </row>
    <row r="39" spans="1:7" ht="15" thickBot="1" x14ac:dyDescent="0.35">
      <c r="A39" s="13">
        <f>BOM_word!A25</f>
        <v>39</v>
      </c>
      <c r="B39" s="14">
        <f>BOM_word!D25</f>
        <v>1</v>
      </c>
      <c r="C39" s="15" t="str">
        <f>BOM_word!B25</f>
        <v>Seal for Screen Bezel</v>
      </c>
      <c r="D39" s="15">
        <f>BOM_word!E25</f>
        <v>0</v>
      </c>
      <c r="E39" s="5"/>
      <c r="F39" s="9" t="s">
        <v>175</v>
      </c>
      <c r="G39" s="16" t="str">
        <f>BOM_word!C25</f>
        <v>PVC Foam Tape</v>
      </c>
    </row>
    <row r="40" spans="1:7" ht="15" thickBot="1" x14ac:dyDescent="0.35">
      <c r="A40" s="13">
        <f>BOM_word!A26</f>
        <v>40</v>
      </c>
      <c r="B40" s="14">
        <f>BOM_word!D26</f>
        <v>1</v>
      </c>
      <c r="C40" s="15" t="str">
        <f>BOM_word!B26</f>
        <v>Aluminium Frame Gasket</v>
      </c>
      <c r="D40" s="15">
        <f>BOM_word!E26</f>
        <v>0</v>
      </c>
      <c r="E40" s="5"/>
      <c r="F40" s="9" t="s">
        <v>175</v>
      </c>
      <c r="G40" s="16" t="str">
        <f>BOM_word!C26</f>
        <v>PVC Foam Tape</v>
      </c>
    </row>
    <row r="41" spans="1:7" ht="15" thickBot="1" x14ac:dyDescent="0.35">
      <c r="A41" s="13">
        <f>BOM_word!A27</f>
        <v>41</v>
      </c>
      <c r="B41" s="14">
        <f>BOM_word!D27</f>
        <v>1</v>
      </c>
      <c r="C41" s="15" t="str">
        <f>BOM_word!B27</f>
        <v>USB C Gasket</v>
      </c>
      <c r="D41" s="15">
        <f>BOM_word!E27</f>
        <v>0</v>
      </c>
      <c r="E41" s="5"/>
      <c r="F41" s="9" t="s">
        <v>175</v>
      </c>
      <c r="G41" s="16" t="str">
        <f>BOM_word!C27</f>
        <v>Built into bought product</v>
      </c>
    </row>
    <row r="42" spans="1:7" ht="15" thickBot="1" x14ac:dyDescent="0.35">
      <c r="A42" s="13">
        <f>BOM_word!A28</f>
        <v>42</v>
      </c>
      <c r="B42" s="14">
        <f>BOM_word!D28</f>
        <v>1</v>
      </c>
      <c r="C42" s="15" t="str">
        <f>BOM_word!B28</f>
        <v>M12 Gasket</v>
      </c>
      <c r="D42" s="15">
        <f>BOM_word!E28</f>
        <v>0</v>
      </c>
      <c r="E42" s="5"/>
      <c r="F42" s="9" t="s">
        <v>175</v>
      </c>
      <c r="G42" s="16" t="str">
        <f>BOM_word!C28</f>
        <v>PVC Foam Tape</v>
      </c>
    </row>
    <row r="43" spans="1:7" ht="15" thickBot="1" x14ac:dyDescent="0.35">
      <c r="A43" s="13">
        <f>BOM_word!A29</f>
        <v>43</v>
      </c>
      <c r="B43" s="14">
        <f>BOM_word!D29</f>
        <v>1</v>
      </c>
      <c r="C43" s="15" t="str">
        <f>BOM_word!B29</f>
        <v>Velcro Roll</v>
      </c>
      <c r="D43" s="15">
        <f>BOM_word!E29</f>
        <v>0</v>
      </c>
      <c r="E43" s="5"/>
      <c r="F43" s="9" t="s">
        <v>175</v>
      </c>
      <c r="G43" s="16" t="str">
        <f>BOM_word!C29</f>
        <v>Velcro</v>
      </c>
    </row>
    <row r="44" spans="1:7" ht="15" thickBot="1" x14ac:dyDescent="0.35">
      <c r="A44" s="13">
        <f>BOM_word!A30</f>
        <v>44</v>
      </c>
      <c r="B44" s="14">
        <f>BOM_word!D30</f>
        <v>1</v>
      </c>
      <c r="C44" s="15" t="str">
        <f>BOM_word!B30</f>
        <v>PVC Foam Tape</v>
      </c>
      <c r="D44" s="15">
        <f>BOM_word!E30</f>
        <v>0</v>
      </c>
      <c r="E44" s="5"/>
      <c r="F44" s="9" t="s">
        <v>175</v>
      </c>
      <c r="G44" s="16">
        <f>BOM_word!C30</f>
        <v>0</v>
      </c>
    </row>
    <row r="45" spans="1:7" x14ac:dyDescent="0.3">
      <c r="A45" s="13">
        <f>BOM_word!A31</f>
        <v>45</v>
      </c>
      <c r="B45" s="14">
        <f>BOM_word!D31</f>
        <v>1</v>
      </c>
      <c r="C45" s="15" t="str">
        <f>BOM_word!B31</f>
        <v>3M Scotch-Weld Epoxy DP420</v>
      </c>
      <c r="D45" s="15">
        <f>BOM_word!E31</f>
        <v>0</v>
      </c>
      <c r="E45" s="5"/>
      <c r="F45" s="9" t="s">
        <v>175</v>
      </c>
      <c r="G45" s="16">
        <f>BOM_word!C31</f>
        <v>0</v>
      </c>
    </row>
    <row r="46" spans="1:7" ht="15" thickBot="1" x14ac:dyDescent="0.35">
      <c r="A46" s="10" t="s">
        <v>96</v>
      </c>
      <c r="B46" s="11" t="s">
        <v>97</v>
      </c>
      <c r="C46" s="11" t="s">
        <v>98</v>
      </c>
      <c r="D46" s="11" t="s">
        <v>99</v>
      </c>
      <c r="E46" s="11" t="s">
        <v>100</v>
      </c>
      <c r="F46" s="11" t="s">
        <v>101</v>
      </c>
      <c r="G46" s="12" t="s">
        <v>102</v>
      </c>
    </row>
  </sheetData>
  <customSheetViews>
    <customSheetView guid="{85B28F95-3488-41DC-90A4-160F98D9658E}">
      <selection activeCell="D45" sqref="D45"/>
      <pageMargins left="0.7" right="0.7" top="0.75" bottom="0.75" header="0.3" footer="0.3"/>
    </customSheetView>
    <customSheetView guid="{5F732A23-763A-43CE-844F-98E769D3D5C8}">
      <selection activeCell="D15" sqref="D15"/>
      <pageMargins left="0.7" right="0.7" top="0.75" bottom="0.75" header="0.3" footer="0.3"/>
    </customSheetView>
  </customSheetView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A839-2ABC-44B5-82B8-E3AD498E0F6A}">
  <dimension ref="A1:F47"/>
  <sheetViews>
    <sheetView workbookViewId="0">
      <selection activeCell="E47" sqref="E47"/>
    </sheetView>
  </sheetViews>
  <sheetFormatPr defaultRowHeight="14.4" x14ac:dyDescent="0.3"/>
  <cols>
    <col min="1" max="1" width="12" style="1" bestFit="1" customWidth="1"/>
    <col min="2" max="2" width="25.44140625" bestFit="1" customWidth="1"/>
    <col min="3" max="3" width="18.6640625" bestFit="1" customWidth="1"/>
    <col min="4" max="4" width="6.5546875" bestFit="1" customWidth="1"/>
    <col min="5" max="5" width="10.33203125" customWidth="1"/>
  </cols>
  <sheetData>
    <row r="1" spans="1:5" ht="32.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152</v>
      </c>
    </row>
    <row r="2" spans="1:5" ht="16.2" x14ac:dyDescent="0.3">
      <c r="A2" s="2" t="s">
        <v>4</v>
      </c>
      <c r="B2" s="4" t="s">
        <v>5</v>
      </c>
      <c r="C2" s="3"/>
      <c r="D2" s="3">
        <v>1</v>
      </c>
      <c r="E2" s="42" t="b">
        <v>1</v>
      </c>
    </row>
    <row r="3" spans="1:5" ht="16.2" x14ac:dyDescent="0.3">
      <c r="A3" s="2" t="s">
        <v>6</v>
      </c>
      <c r="B3" s="4" t="s">
        <v>7</v>
      </c>
      <c r="C3" s="3"/>
      <c r="D3" s="3">
        <v>1</v>
      </c>
      <c r="E3" s="42" t="b">
        <v>1</v>
      </c>
    </row>
    <row r="4" spans="1:5" ht="16.2" x14ac:dyDescent="0.3">
      <c r="A4" s="2" t="s">
        <v>8</v>
      </c>
      <c r="B4" s="4" t="s">
        <v>9</v>
      </c>
      <c r="C4" s="3"/>
      <c r="D4" s="3">
        <v>1</v>
      </c>
      <c r="E4" s="42" t="b">
        <v>1</v>
      </c>
    </row>
    <row r="5" spans="1:5" ht="16.2" x14ac:dyDescent="0.3">
      <c r="A5" s="2" t="s">
        <v>10</v>
      </c>
      <c r="B5" s="4" t="s">
        <v>11</v>
      </c>
      <c r="C5" s="3"/>
      <c r="D5" s="3">
        <v>1</v>
      </c>
      <c r="E5" s="42" t="b">
        <v>1</v>
      </c>
    </row>
    <row r="6" spans="1:5" ht="16.2" x14ac:dyDescent="0.3">
      <c r="A6" s="2" t="s">
        <v>12</v>
      </c>
      <c r="B6" s="4" t="s">
        <v>13</v>
      </c>
      <c r="C6" s="3"/>
      <c r="D6" s="3">
        <v>1</v>
      </c>
      <c r="E6" s="42" t="b">
        <v>1</v>
      </c>
    </row>
    <row r="7" spans="1:5" ht="16.2" x14ac:dyDescent="0.3">
      <c r="A7" s="2" t="s">
        <v>14</v>
      </c>
      <c r="B7" s="4" t="s">
        <v>15</v>
      </c>
      <c r="C7" s="3"/>
      <c r="D7" s="3">
        <v>18</v>
      </c>
      <c r="E7" s="42" t="b">
        <v>1</v>
      </c>
    </row>
    <row r="8" spans="1:5" ht="35.4" x14ac:dyDescent="0.3">
      <c r="A8" s="2" t="s">
        <v>16</v>
      </c>
      <c r="B8" s="4" t="s">
        <v>17</v>
      </c>
      <c r="C8" s="3"/>
      <c r="D8" s="3">
        <v>12</v>
      </c>
      <c r="E8" s="42" t="b">
        <v>1</v>
      </c>
    </row>
    <row r="9" spans="1:5" ht="35.4" x14ac:dyDescent="0.3">
      <c r="A9" s="2" t="s">
        <v>18</v>
      </c>
      <c r="B9" s="4" t="s">
        <v>19</v>
      </c>
      <c r="C9" s="3"/>
      <c r="D9" s="3">
        <v>16</v>
      </c>
      <c r="E9" s="42" t="b">
        <v>1</v>
      </c>
    </row>
    <row r="10" spans="1:5" ht="16.2" x14ac:dyDescent="0.3">
      <c r="A10" s="2" t="s">
        <v>20</v>
      </c>
      <c r="B10" s="4" t="s">
        <v>21</v>
      </c>
      <c r="C10" s="3"/>
      <c r="D10" s="3">
        <v>1</v>
      </c>
      <c r="E10" s="42" t="b">
        <v>1</v>
      </c>
    </row>
    <row r="11" spans="1:5" ht="16.2" x14ac:dyDescent="0.3">
      <c r="A11" s="2" t="s">
        <v>22</v>
      </c>
      <c r="B11" s="4" t="s">
        <v>23</v>
      </c>
      <c r="C11" s="3"/>
      <c r="D11" s="3">
        <v>1</v>
      </c>
      <c r="E11" s="42" t="b">
        <v>1</v>
      </c>
    </row>
    <row r="12" spans="1:5" ht="16.2" x14ac:dyDescent="0.3">
      <c r="A12" s="2" t="s">
        <v>24</v>
      </c>
      <c r="B12" s="4" t="s">
        <v>25</v>
      </c>
      <c r="C12" s="3"/>
      <c r="D12" s="3">
        <v>1</v>
      </c>
      <c r="E12" s="42" t="b">
        <v>1</v>
      </c>
    </row>
    <row r="13" spans="1:5" ht="54.6" x14ac:dyDescent="0.3">
      <c r="A13" s="2" t="s">
        <v>26</v>
      </c>
      <c r="B13" s="4" t="s">
        <v>27</v>
      </c>
      <c r="C13" s="3"/>
      <c r="D13" s="3">
        <v>1</v>
      </c>
      <c r="E13" s="42" t="b">
        <v>1</v>
      </c>
    </row>
    <row r="14" spans="1:5" ht="35.4" x14ac:dyDescent="0.3">
      <c r="A14" s="2" t="s">
        <v>28</v>
      </c>
      <c r="B14" s="4" t="s">
        <v>29</v>
      </c>
      <c r="C14" s="3"/>
      <c r="D14" s="3">
        <v>1</v>
      </c>
      <c r="E14" s="42" t="b">
        <v>1</v>
      </c>
    </row>
    <row r="15" spans="1:5" ht="16.2" x14ac:dyDescent="0.3">
      <c r="A15" s="2" t="s">
        <v>30</v>
      </c>
      <c r="B15" s="4" t="s">
        <v>31</v>
      </c>
      <c r="C15" s="3"/>
      <c r="D15" s="3">
        <v>1</v>
      </c>
      <c r="E15" s="42" t="b">
        <v>1</v>
      </c>
    </row>
    <row r="16" spans="1:5" ht="35.4" x14ac:dyDescent="0.3">
      <c r="A16" s="2" t="s">
        <v>32</v>
      </c>
      <c r="B16" s="4" t="s">
        <v>33</v>
      </c>
      <c r="C16" s="3"/>
      <c r="D16" s="3">
        <v>2</v>
      </c>
      <c r="E16" s="42" t="b">
        <v>1</v>
      </c>
    </row>
    <row r="17" spans="1:6" ht="16.2" x14ac:dyDescent="0.3">
      <c r="A17" s="2" t="s">
        <v>34</v>
      </c>
      <c r="B17" s="4" t="s">
        <v>35</v>
      </c>
      <c r="C17" s="3"/>
      <c r="D17" s="3">
        <v>1</v>
      </c>
      <c r="E17" s="42" t="b">
        <v>1</v>
      </c>
      <c r="F17" t="s">
        <v>165</v>
      </c>
    </row>
    <row r="18" spans="1:6" ht="16.2" x14ac:dyDescent="0.3">
      <c r="A18" s="2" t="s">
        <v>36</v>
      </c>
      <c r="B18" s="4" t="s">
        <v>37</v>
      </c>
      <c r="C18" s="3"/>
      <c r="D18" s="3">
        <v>1</v>
      </c>
      <c r="E18" s="42" t="b">
        <v>1</v>
      </c>
      <c r="F18" t="s">
        <v>166</v>
      </c>
    </row>
    <row r="19" spans="1:6" ht="35.4" x14ac:dyDescent="0.3">
      <c r="A19" s="2" t="s">
        <v>38</v>
      </c>
      <c r="B19" s="4" t="s">
        <v>39</v>
      </c>
      <c r="C19" s="3"/>
      <c r="D19" s="3">
        <v>2</v>
      </c>
      <c r="E19" s="42" t="b">
        <v>1</v>
      </c>
    </row>
    <row r="20" spans="1:6" ht="16.2" x14ac:dyDescent="0.3">
      <c r="A20" s="2" t="s">
        <v>40</v>
      </c>
      <c r="B20" s="4" t="s">
        <v>41</v>
      </c>
      <c r="C20" s="3"/>
      <c r="D20" s="3">
        <v>1</v>
      </c>
      <c r="E20" s="42" t="b">
        <v>1</v>
      </c>
    </row>
    <row r="21" spans="1:6" ht="35.4" x14ac:dyDescent="0.3">
      <c r="A21" s="2" t="s">
        <v>42</v>
      </c>
      <c r="B21" s="4" t="s">
        <v>43</v>
      </c>
      <c r="C21" s="3"/>
      <c r="D21" s="3">
        <v>1</v>
      </c>
      <c r="E21" s="42" t="b">
        <v>1</v>
      </c>
    </row>
    <row r="22" spans="1:6" ht="16.2" x14ac:dyDescent="0.3">
      <c r="A22" s="2" t="s">
        <v>44</v>
      </c>
      <c r="B22" s="4" t="s">
        <v>45</v>
      </c>
      <c r="C22" s="3"/>
      <c r="D22" s="3">
        <v>1</v>
      </c>
      <c r="E22" s="42" t="b">
        <v>1</v>
      </c>
    </row>
    <row r="23" spans="1:6" ht="35.4" x14ac:dyDescent="0.3">
      <c r="A23" s="2" t="s">
        <v>46</v>
      </c>
      <c r="B23" s="4" t="s">
        <v>47</v>
      </c>
      <c r="C23" s="3"/>
      <c r="D23" s="3">
        <v>4</v>
      </c>
      <c r="E23" s="42" t="b">
        <v>1</v>
      </c>
      <c r="F23" t="s">
        <v>169</v>
      </c>
    </row>
    <row r="24" spans="1:6" ht="35.4" x14ac:dyDescent="0.3">
      <c r="A24" s="2" t="s">
        <v>48</v>
      </c>
      <c r="B24" s="4" t="s">
        <v>49</v>
      </c>
      <c r="C24" s="3"/>
      <c r="D24" s="3">
        <v>1</v>
      </c>
      <c r="E24" s="42" t="b">
        <v>1</v>
      </c>
    </row>
    <row r="25" spans="1:6" ht="73.8" x14ac:dyDescent="0.3">
      <c r="A25" s="2" t="s">
        <v>50</v>
      </c>
      <c r="B25" s="4" t="s">
        <v>51</v>
      </c>
      <c r="C25" s="3"/>
      <c r="D25" s="3">
        <v>1</v>
      </c>
      <c r="E25" s="42" t="b">
        <v>1</v>
      </c>
    </row>
    <row r="26" spans="1:6" ht="73.8" x14ac:dyDescent="0.3">
      <c r="A26" s="2" t="s">
        <v>52</v>
      </c>
      <c r="B26" s="4" t="s">
        <v>53</v>
      </c>
      <c r="C26" s="3"/>
      <c r="D26" s="3">
        <v>1</v>
      </c>
      <c r="E26" s="42" t="b">
        <v>1</v>
      </c>
    </row>
    <row r="27" spans="1:6" ht="73.8" x14ac:dyDescent="0.3">
      <c r="A27" s="2" t="s">
        <v>54</v>
      </c>
      <c r="B27" s="4" t="s">
        <v>55</v>
      </c>
      <c r="C27" s="3"/>
      <c r="D27" s="3">
        <v>1</v>
      </c>
      <c r="E27" s="42" t="b">
        <v>1</v>
      </c>
    </row>
    <row r="28" spans="1:6" ht="73.8" x14ac:dyDescent="0.3">
      <c r="A28" s="2" t="s">
        <v>56</v>
      </c>
      <c r="B28" s="4" t="s">
        <v>57</v>
      </c>
      <c r="C28" s="3"/>
      <c r="D28" s="3">
        <v>1</v>
      </c>
      <c r="E28" s="42" t="b">
        <v>1</v>
      </c>
    </row>
    <row r="29" spans="1:6" ht="73.8" x14ac:dyDescent="0.3">
      <c r="A29" s="2" t="s">
        <v>58</v>
      </c>
      <c r="B29" s="4" t="s">
        <v>59</v>
      </c>
      <c r="C29" s="3"/>
      <c r="D29" s="3">
        <v>1</v>
      </c>
      <c r="E29" s="42" t="b">
        <v>1</v>
      </c>
    </row>
    <row r="30" spans="1:6" ht="54.6" x14ac:dyDescent="0.3">
      <c r="A30" s="2" t="s">
        <v>60</v>
      </c>
      <c r="B30" s="4" t="s">
        <v>61</v>
      </c>
      <c r="C30" s="3"/>
      <c r="D30" s="3">
        <v>1</v>
      </c>
      <c r="E30" s="42" t="b">
        <v>1</v>
      </c>
    </row>
    <row r="31" spans="1:6" ht="16.2" x14ac:dyDescent="0.3">
      <c r="A31" s="2" t="s">
        <v>62</v>
      </c>
      <c r="B31" s="4" t="s">
        <v>63</v>
      </c>
      <c r="C31" s="3"/>
      <c r="D31" s="3">
        <v>12</v>
      </c>
      <c r="E31" s="42" t="b">
        <v>1</v>
      </c>
    </row>
    <row r="32" spans="1:6" ht="35.4" x14ac:dyDescent="0.3">
      <c r="A32" s="2" t="s">
        <v>64</v>
      </c>
      <c r="B32" s="4" t="s">
        <v>65</v>
      </c>
      <c r="C32" s="3"/>
      <c r="D32" s="3">
        <v>12</v>
      </c>
      <c r="E32" s="42" t="b">
        <v>1</v>
      </c>
    </row>
    <row r="33" spans="1:5" ht="16.2" x14ac:dyDescent="0.3">
      <c r="A33" s="2" t="s">
        <v>66</v>
      </c>
      <c r="B33" s="4" t="s">
        <v>67</v>
      </c>
      <c r="C33" s="3"/>
      <c r="D33" s="3">
        <v>12</v>
      </c>
      <c r="E33" s="42" t="b">
        <v>1</v>
      </c>
    </row>
    <row r="34" spans="1:5" ht="35.4" x14ac:dyDescent="0.3">
      <c r="A34" s="2" t="s">
        <v>68</v>
      </c>
      <c r="B34" s="4" t="s">
        <v>69</v>
      </c>
      <c r="C34" s="3"/>
      <c r="D34" s="3">
        <v>1</v>
      </c>
      <c r="E34" s="42" t="b">
        <v>1</v>
      </c>
    </row>
    <row r="35" spans="1:5" ht="16.2" x14ac:dyDescent="0.3">
      <c r="A35" s="2" t="s">
        <v>70</v>
      </c>
      <c r="B35" s="4" t="s">
        <v>71</v>
      </c>
      <c r="C35" s="3"/>
      <c r="D35" s="3">
        <v>1</v>
      </c>
      <c r="E35" s="42" t="b">
        <v>1</v>
      </c>
    </row>
    <row r="36" spans="1:5" ht="35.4" x14ac:dyDescent="0.3">
      <c r="A36" s="2" t="s">
        <v>72</v>
      </c>
      <c r="B36" s="4" t="s">
        <v>73</v>
      </c>
      <c r="C36" s="3"/>
      <c r="D36" s="3">
        <v>1</v>
      </c>
      <c r="E36" s="42" t="b">
        <v>1</v>
      </c>
    </row>
    <row r="37" spans="1:5" ht="35.4" x14ac:dyDescent="0.3">
      <c r="A37" s="2" t="s">
        <v>74</v>
      </c>
      <c r="B37" s="4" t="s">
        <v>75</v>
      </c>
      <c r="C37" s="3"/>
      <c r="D37" s="3">
        <v>4</v>
      </c>
      <c r="E37" s="42" t="b">
        <v>1</v>
      </c>
    </row>
    <row r="38" spans="1:5" ht="16.2" x14ac:dyDescent="0.3">
      <c r="A38" s="2" t="s">
        <v>76</v>
      </c>
      <c r="B38" s="4" t="s">
        <v>77</v>
      </c>
      <c r="C38" s="3"/>
      <c r="D38" s="3">
        <v>4</v>
      </c>
      <c r="E38" s="42" t="b">
        <v>1</v>
      </c>
    </row>
    <row r="39" spans="1:5" ht="54.6" x14ac:dyDescent="0.3">
      <c r="A39" s="2" t="s">
        <v>78</v>
      </c>
      <c r="B39" s="4" t="s">
        <v>79</v>
      </c>
      <c r="C39" s="3"/>
      <c r="D39" s="3">
        <v>4</v>
      </c>
      <c r="E39" s="42" t="b">
        <v>1</v>
      </c>
    </row>
    <row r="40" spans="1:5" ht="35.4" x14ac:dyDescent="0.3">
      <c r="A40" s="2" t="s">
        <v>80</v>
      </c>
      <c r="B40" s="4" t="s">
        <v>81</v>
      </c>
      <c r="C40" s="3" t="s">
        <v>82</v>
      </c>
      <c r="D40" s="3">
        <v>1</v>
      </c>
      <c r="E40" s="42" t="b">
        <v>1</v>
      </c>
    </row>
    <row r="41" spans="1:5" ht="35.4" x14ac:dyDescent="0.3">
      <c r="A41" s="2" t="s">
        <v>83</v>
      </c>
      <c r="B41" s="4" t="s">
        <v>84</v>
      </c>
      <c r="C41" s="3" t="s">
        <v>82</v>
      </c>
      <c r="D41" s="3">
        <v>1</v>
      </c>
      <c r="E41" s="42" t="b">
        <v>1</v>
      </c>
    </row>
    <row r="42" spans="1:5" ht="16.2" x14ac:dyDescent="0.3">
      <c r="A42" s="2" t="s">
        <v>85</v>
      </c>
      <c r="B42" s="4" t="s">
        <v>86</v>
      </c>
      <c r="C42" s="3"/>
      <c r="D42" s="3">
        <v>1</v>
      </c>
      <c r="E42" s="42" t="b">
        <v>1</v>
      </c>
    </row>
    <row r="43" spans="1:5" ht="16.2" x14ac:dyDescent="0.3">
      <c r="A43" s="2" t="s">
        <v>87</v>
      </c>
      <c r="B43" s="4" t="s">
        <v>88</v>
      </c>
      <c r="C43" s="3"/>
      <c r="D43" s="3">
        <v>2</v>
      </c>
      <c r="E43" s="42" t="b">
        <v>1</v>
      </c>
    </row>
    <row r="44" spans="1:5" ht="16.2" x14ac:dyDescent="0.3">
      <c r="A44" s="2" t="s">
        <v>89</v>
      </c>
      <c r="B44" s="4" t="s">
        <v>90</v>
      </c>
      <c r="C44" s="3"/>
      <c r="D44" s="3">
        <v>1</v>
      </c>
      <c r="E44" s="42" t="b">
        <v>1</v>
      </c>
    </row>
    <row r="45" spans="1:5" ht="16.2" x14ac:dyDescent="0.3">
      <c r="A45" s="2" t="s">
        <v>91</v>
      </c>
      <c r="B45" s="4" t="s">
        <v>92</v>
      </c>
      <c r="C45" s="3"/>
      <c r="D45" s="3">
        <v>2</v>
      </c>
      <c r="E45" s="42" t="b">
        <v>1</v>
      </c>
    </row>
    <row r="46" spans="1:5" ht="16.2" x14ac:dyDescent="0.3">
      <c r="A46" s="2" t="s">
        <v>93</v>
      </c>
      <c r="B46" s="4" t="s">
        <v>94</v>
      </c>
      <c r="C46" s="3"/>
      <c r="D46" s="3">
        <v>1</v>
      </c>
      <c r="E46" s="42" t="b">
        <v>1</v>
      </c>
    </row>
    <row r="47" spans="1:5" ht="16.2" x14ac:dyDescent="0.3">
      <c r="A47" s="2" t="s">
        <v>95</v>
      </c>
      <c r="B47" s="4">
        <v>1697098</v>
      </c>
      <c r="C47" s="3"/>
      <c r="D47" s="3">
        <v>1</v>
      </c>
      <c r="E47" s="42" t="b">
        <v>1</v>
      </c>
    </row>
  </sheetData>
  <customSheetViews>
    <customSheetView guid="{85B28F95-3488-41DC-90A4-160F98D9658E}">
      <selection activeCell="E47" sqref="E47"/>
      <pageMargins left="0.7" right="0.7" top="0.75" bottom="0.75" header="0.3" footer="0.3"/>
    </customSheetView>
    <customSheetView guid="{5F732A23-763A-43CE-844F-98E769D3D5C8}" topLeftCell="A34">
      <selection activeCell="E47" sqref="E4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2AB6-2666-4F93-A7C6-5A8395602394}">
  <dimension ref="A1:F112"/>
  <sheetViews>
    <sheetView tabSelected="1" workbookViewId="0">
      <selection activeCell="B3" sqref="B3"/>
    </sheetView>
  </sheetViews>
  <sheetFormatPr defaultRowHeight="14.4" x14ac:dyDescent="0.3"/>
  <cols>
    <col min="1" max="1" width="24.88671875" customWidth="1"/>
    <col min="2" max="2" width="27.88671875" customWidth="1"/>
    <col min="3" max="3" width="21.77734375" customWidth="1"/>
    <col min="4" max="4" width="16.33203125" customWidth="1"/>
    <col min="5" max="5" width="11.44140625" customWidth="1"/>
  </cols>
  <sheetData>
    <row r="1" spans="1:6" ht="15" thickBot="1" x14ac:dyDescent="0.35">
      <c r="A1" t="s">
        <v>355</v>
      </c>
      <c r="B1" t="s">
        <v>356</v>
      </c>
      <c r="C1" t="s">
        <v>357</v>
      </c>
      <c r="D1" t="s">
        <v>358</v>
      </c>
      <c r="E1" t="s">
        <v>353</v>
      </c>
      <c r="F1" t="s">
        <v>354</v>
      </c>
    </row>
    <row r="2" spans="1:6" ht="78.599999999999994" thickBot="1" x14ac:dyDescent="0.35">
      <c r="A2" s="32" t="s">
        <v>189</v>
      </c>
      <c r="B2" s="33" t="s">
        <v>190</v>
      </c>
      <c r="C2" s="33" t="s">
        <v>191</v>
      </c>
      <c r="D2" s="34">
        <v>1</v>
      </c>
    </row>
    <row r="3" spans="1:6" ht="94.2" thickBot="1" x14ac:dyDescent="0.35">
      <c r="A3" s="35" t="s">
        <v>192</v>
      </c>
      <c r="B3" s="36" t="s">
        <v>193</v>
      </c>
      <c r="C3" s="36" t="s">
        <v>194</v>
      </c>
      <c r="D3" s="37">
        <v>2</v>
      </c>
    </row>
    <row r="4" spans="1:6" ht="107.4" thickBot="1" x14ac:dyDescent="0.35">
      <c r="A4" s="62" t="s">
        <v>195</v>
      </c>
      <c r="B4" s="63" t="s">
        <v>196</v>
      </c>
      <c r="C4" s="63" t="s">
        <v>197</v>
      </c>
      <c r="D4" s="64">
        <v>13</v>
      </c>
    </row>
    <row r="5" spans="1:6" ht="91.8" thickBot="1" x14ac:dyDescent="0.35">
      <c r="A5" s="35" t="s">
        <v>198</v>
      </c>
      <c r="B5" s="36" t="s">
        <v>199</v>
      </c>
      <c r="C5" s="36" t="s">
        <v>197</v>
      </c>
      <c r="D5" s="37">
        <v>1</v>
      </c>
    </row>
    <row r="6" spans="1:6" ht="107.4" thickBot="1" x14ac:dyDescent="0.35">
      <c r="A6" s="62" t="s">
        <v>200</v>
      </c>
      <c r="B6" s="63" t="s">
        <v>201</v>
      </c>
      <c r="C6" s="63" t="s">
        <v>197</v>
      </c>
      <c r="D6" s="64">
        <v>12</v>
      </c>
    </row>
    <row r="7" spans="1:6" ht="91.8" thickBot="1" x14ac:dyDescent="0.35">
      <c r="A7" s="35" t="s">
        <v>202</v>
      </c>
      <c r="B7" s="36" t="s">
        <v>203</v>
      </c>
      <c r="C7" s="36" t="s">
        <v>197</v>
      </c>
      <c r="D7" s="37">
        <v>1</v>
      </c>
    </row>
    <row r="8" spans="1:6" ht="91.8" thickBot="1" x14ac:dyDescent="0.35">
      <c r="A8" s="62" t="s">
        <v>204</v>
      </c>
      <c r="B8" s="63" t="s">
        <v>205</v>
      </c>
      <c r="C8" s="63" t="s">
        <v>197</v>
      </c>
      <c r="D8" s="64">
        <v>1</v>
      </c>
    </row>
    <row r="9" spans="1:6" ht="91.8" thickBot="1" x14ac:dyDescent="0.35">
      <c r="A9" s="35" t="s">
        <v>206</v>
      </c>
      <c r="B9" s="36" t="s">
        <v>207</v>
      </c>
      <c r="C9" s="36" t="s">
        <v>197</v>
      </c>
      <c r="D9" s="37">
        <v>1</v>
      </c>
    </row>
    <row r="10" spans="1:6" ht="91.8" thickBot="1" x14ac:dyDescent="0.35">
      <c r="A10" s="62" t="s">
        <v>208</v>
      </c>
      <c r="B10" s="63" t="s">
        <v>209</v>
      </c>
      <c r="C10" s="63" t="s">
        <v>197</v>
      </c>
      <c r="D10" s="64">
        <v>1</v>
      </c>
    </row>
    <row r="11" spans="1:6" ht="76.2" thickBot="1" x14ac:dyDescent="0.35">
      <c r="A11" s="35" t="s">
        <v>210</v>
      </c>
      <c r="B11" s="36" t="s">
        <v>211</v>
      </c>
      <c r="C11" s="36" t="s">
        <v>197</v>
      </c>
      <c r="D11" s="37">
        <v>1</v>
      </c>
    </row>
    <row r="12" spans="1:6" ht="76.2" thickBot="1" x14ac:dyDescent="0.35">
      <c r="A12" s="62" t="s">
        <v>212</v>
      </c>
      <c r="B12" s="63" t="s">
        <v>213</v>
      </c>
      <c r="C12" s="63" t="s">
        <v>197</v>
      </c>
      <c r="D12" s="64">
        <v>1</v>
      </c>
    </row>
    <row r="13" spans="1:6" ht="89.4" thickBot="1" x14ac:dyDescent="0.35">
      <c r="A13" s="35" t="s">
        <v>214</v>
      </c>
      <c r="B13" s="36" t="s">
        <v>215</v>
      </c>
      <c r="C13" s="36" t="s">
        <v>197</v>
      </c>
      <c r="D13" s="37">
        <v>1</v>
      </c>
    </row>
    <row r="14" spans="1:6" ht="76.2" thickBot="1" x14ac:dyDescent="0.35">
      <c r="A14" s="62" t="s">
        <v>216</v>
      </c>
      <c r="B14" s="63" t="s">
        <v>217</v>
      </c>
      <c r="C14" s="63" t="s">
        <v>197</v>
      </c>
      <c r="D14" s="64">
        <v>5</v>
      </c>
    </row>
    <row r="15" spans="1:6" ht="76.2" thickBot="1" x14ac:dyDescent="0.35">
      <c r="A15" s="35" t="s">
        <v>218</v>
      </c>
      <c r="B15" s="36" t="s">
        <v>219</v>
      </c>
      <c r="C15" s="36" t="s">
        <v>197</v>
      </c>
      <c r="D15" s="37">
        <v>1</v>
      </c>
    </row>
    <row r="16" spans="1:6" ht="31.2" x14ac:dyDescent="0.3">
      <c r="A16" s="68" t="s">
        <v>220</v>
      </c>
      <c r="B16" s="39" t="s">
        <v>221</v>
      </c>
      <c r="C16" s="70" t="s">
        <v>223</v>
      </c>
      <c r="D16" s="72">
        <v>1</v>
      </c>
    </row>
    <row r="17" spans="1:4" ht="31.8" thickBot="1" x14ac:dyDescent="0.35">
      <c r="A17" s="69"/>
      <c r="B17" s="63" t="s">
        <v>222</v>
      </c>
      <c r="C17" s="71"/>
      <c r="D17" s="73"/>
    </row>
    <row r="18" spans="1:4" ht="78" x14ac:dyDescent="0.3">
      <c r="A18" s="40">
        <v>19</v>
      </c>
      <c r="B18" s="41" t="s">
        <v>167</v>
      </c>
      <c r="C18" s="74" t="s">
        <v>168</v>
      </c>
      <c r="D18" s="76">
        <v>1</v>
      </c>
    </row>
    <row r="19" spans="1:4" ht="47.4" thickBot="1" x14ac:dyDescent="0.35">
      <c r="A19" s="65" t="s">
        <v>224</v>
      </c>
      <c r="B19" s="36" t="s">
        <v>225</v>
      </c>
      <c r="C19" s="75"/>
      <c r="D19" s="77"/>
    </row>
    <row r="20" spans="1:4" ht="31.2" x14ac:dyDescent="0.3">
      <c r="A20" s="68" t="s">
        <v>226</v>
      </c>
      <c r="B20" s="39" t="s">
        <v>227</v>
      </c>
      <c r="C20" s="70" t="s">
        <v>229</v>
      </c>
      <c r="D20" s="72">
        <v>2</v>
      </c>
    </row>
    <row r="21" spans="1:4" ht="31.8" thickBot="1" x14ac:dyDescent="0.35">
      <c r="A21" s="69"/>
      <c r="B21" s="63" t="s">
        <v>228</v>
      </c>
      <c r="C21" s="71"/>
      <c r="D21" s="73"/>
    </row>
    <row r="22" spans="1:4" ht="78.599999999999994" thickBot="1" x14ac:dyDescent="0.35">
      <c r="A22" s="35" t="s">
        <v>230</v>
      </c>
      <c r="B22" s="36" t="s">
        <v>231</v>
      </c>
      <c r="C22" s="36" t="s">
        <v>232</v>
      </c>
      <c r="D22" s="37">
        <v>1</v>
      </c>
    </row>
    <row r="23" spans="1:4" ht="78.599999999999994" thickBot="1" x14ac:dyDescent="0.35">
      <c r="A23" s="62" t="s">
        <v>233</v>
      </c>
      <c r="B23" s="63" t="s">
        <v>234</v>
      </c>
      <c r="C23" s="63" t="s">
        <v>235</v>
      </c>
      <c r="D23" s="64">
        <v>1</v>
      </c>
    </row>
    <row r="24" spans="1:4" ht="15.6" x14ac:dyDescent="0.3">
      <c r="A24" s="78" t="s">
        <v>236</v>
      </c>
      <c r="B24" s="41" t="s">
        <v>237</v>
      </c>
      <c r="C24" s="74" t="s">
        <v>239</v>
      </c>
      <c r="D24" s="76">
        <v>3</v>
      </c>
    </row>
    <row r="25" spans="1:4" ht="31.8" thickBot="1" x14ac:dyDescent="0.35">
      <c r="A25" s="79"/>
      <c r="B25" s="36" t="s">
        <v>238</v>
      </c>
      <c r="C25" s="75"/>
      <c r="D25" s="77"/>
    </row>
    <row r="26" spans="1:4" ht="15.6" x14ac:dyDescent="0.3">
      <c r="A26" s="68" t="s">
        <v>240</v>
      </c>
      <c r="B26" s="39" t="s">
        <v>237</v>
      </c>
      <c r="C26" s="70" t="s">
        <v>242</v>
      </c>
      <c r="D26" s="72">
        <v>1</v>
      </c>
    </row>
    <row r="27" spans="1:4" ht="47.4" thickBot="1" x14ac:dyDescent="0.35">
      <c r="A27" s="69"/>
      <c r="B27" s="63" t="s">
        <v>241</v>
      </c>
      <c r="C27" s="71"/>
      <c r="D27" s="73"/>
    </row>
    <row r="28" spans="1:4" ht="62.4" x14ac:dyDescent="0.3">
      <c r="A28" s="78" t="s">
        <v>243</v>
      </c>
      <c r="B28" s="41" t="s">
        <v>244</v>
      </c>
      <c r="C28" s="74" t="s">
        <v>246</v>
      </c>
      <c r="D28" s="76">
        <v>3</v>
      </c>
    </row>
    <row r="29" spans="1:4" ht="31.8" thickBot="1" x14ac:dyDescent="0.35">
      <c r="A29" s="79"/>
      <c r="B29" s="36" t="s">
        <v>245</v>
      </c>
      <c r="C29" s="75"/>
      <c r="D29" s="77"/>
    </row>
    <row r="30" spans="1:4" ht="62.4" x14ac:dyDescent="0.3">
      <c r="A30" s="68" t="s">
        <v>247</v>
      </c>
      <c r="B30" s="39" t="s">
        <v>248</v>
      </c>
      <c r="C30" s="70" t="s">
        <v>246</v>
      </c>
      <c r="D30" s="72">
        <v>3</v>
      </c>
    </row>
    <row r="31" spans="1:4" ht="31.8" thickBot="1" x14ac:dyDescent="0.35">
      <c r="A31" s="69"/>
      <c r="B31" s="63" t="s">
        <v>249</v>
      </c>
      <c r="C31" s="71"/>
      <c r="D31" s="73"/>
    </row>
    <row r="32" spans="1:4" ht="78.599999999999994" thickBot="1" x14ac:dyDescent="0.35">
      <c r="A32" s="35" t="s">
        <v>250</v>
      </c>
      <c r="B32" s="36" t="s">
        <v>251</v>
      </c>
      <c r="C32" s="36" t="s">
        <v>223</v>
      </c>
      <c r="D32" s="37">
        <v>2</v>
      </c>
    </row>
    <row r="33" spans="1:4" ht="63" thickBot="1" x14ac:dyDescent="0.35">
      <c r="A33" s="62" t="s">
        <v>252</v>
      </c>
      <c r="B33" s="63" t="s">
        <v>253</v>
      </c>
      <c r="C33" s="63" t="s">
        <v>223</v>
      </c>
      <c r="D33" s="64">
        <v>1</v>
      </c>
    </row>
    <row r="34" spans="1:4" ht="15.6" x14ac:dyDescent="0.3">
      <c r="A34" s="78" t="s">
        <v>254</v>
      </c>
      <c r="B34" s="41" t="s">
        <v>255</v>
      </c>
      <c r="C34" s="74" t="s">
        <v>257</v>
      </c>
      <c r="D34" s="76">
        <v>1</v>
      </c>
    </row>
    <row r="35" spans="1:4" ht="47.4" thickBot="1" x14ac:dyDescent="0.35">
      <c r="A35" s="79"/>
      <c r="B35" s="36" t="s">
        <v>256</v>
      </c>
      <c r="C35" s="75"/>
      <c r="D35" s="77"/>
    </row>
    <row r="36" spans="1:4" ht="15.6" x14ac:dyDescent="0.3">
      <c r="A36" s="68" t="s">
        <v>258</v>
      </c>
      <c r="B36" s="39" t="s">
        <v>255</v>
      </c>
      <c r="C36" s="70" t="s">
        <v>260</v>
      </c>
      <c r="D36" s="72">
        <v>1</v>
      </c>
    </row>
    <row r="37" spans="1:4" ht="47.4" thickBot="1" x14ac:dyDescent="0.35">
      <c r="A37" s="69"/>
      <c r="B37" s="63" t="s">
        <v>259</v>
      </c>
      <c r="C37" s="71"/>
      <c r="D37" s="73"/>
    </row>
    <row r="38" spans="1:4" ht="46.8" x14ac:dyDescent="0.3">
      <c r="A38" s="78" t="s">
        <v>261</v>
      </c>
      <c r="B38" s="41" t="s">
        <v>262</v>
      </c>
      <c r="C38" s="74" t="s">
        <v>194</v>
      </c>
      <c r="D38" s="76">
        <v>3</v>
      </c>
    </row>
    <row r="39" spans="1:4" ht="47.4" thickBot="1" x14ac:dyDescent="0.35">
      <c r="A39" s="79"/>
      <c r="B39" s="36" t="s">
        <v>263</v>
      </c>
      <c r="C39" s="75"/>
      <c r="D39" s="77"/>
    </row>
    <row r="40" spans="1:4" ht="15.6" x14ac:dyDescent="0.3">
      <c r="A40" s="68" t="s">
        <v>264</v>
      </c>
      <c r="B40" s="39" t="s">
        <v>255</v>
      </c>
      <c r="C40" s="70" t="s">
        <v>260</v>
      </c>
      <c r="D40" s="72">
        <v>11</v>
      </c>
    </row>
    <row r="41" spans="1:4" ht="47.4" thickBot="1" x14ac:dyDescent="0.35">
      <c r="A41" s="69"/>
      <c r="B41" s="63" t="s">
        <v>265</v>
      </c>
      <c r="C41" s="71"/>
      <c r="D41" s="73"/>
    </row>
    <row r="42" spans="1:4" ht="46.8" x14ac:dyDescent="0.3">
      <c r="A42" s="78" t="s">
        <v>266</v>
      </c>
      <c r="B42" s="41" t="s">
        <v>262</v>
      </c>
      <c r="C42" s="74" t="s">
        <v>194</v>
      </c>
      <c r="D42" s="76">
        <v>1</v>
      </c>
    </row>
    <row r="43" spans="1:4" ht="47.4" thickBot="1" x14ac:dyDescent="0.35">
      <c r="A43" s="79"/>
      <c r="B43" s="36" t="s">
        <v>267</v>
      </c>
      <c r="C43" s="75"/>
      <c r="D43" s="77"/>
    </row>
    <row r="44" spans="1:4" ht="46.8" x14ac:dyDescent="0.3">
      <c r="A44" s="68" t="s">
        <v>268</v>
      </c>
      <c r="B44" s="39" t="s">
        <v>262</v>
      </c>
      <c r="C44" s="70" t="s">
        <v>194</v>
      </c>
      <c r="D44" s="72">
        <v>1</v>
      </c>
    </row>
    <row r="45" spans="1:4" ht="47.4" thickBot="1" x14ac:dyDescent="0.35">
      <c r="A45" s="69"/>
      <c r="B45" s="63" t="s">
        <v>269</v>
      </c>
      <c r="C45" s="71"/>
      <c r="D45" s="73"/>
    </row>
    <row r="46" spans="1:4" ht="46.8" x14ac:dyDescent="0.3">
      <c r="A46" s="78" t="s">
        <v>270</v>
      </c>
      <c r="B46" s="41" t="s">
        <v>262</v>
      </c>
      <c r="C46" s="74" t="s">
        <v>194</v>
      </c>
      <c r="D46" s="76">
        <v>1</v>
      </c>
    </row>
    <row r="47" spans="1:4" ht="47.4" thickBot="1" x14ac:dyDescent="0.35">
      <c r="A47" s="79"/>
      <c r="B47" s="36" t="s">
        <v>271</v>
      </c>
      <c r="C47" s="75"/>
      <c r="D47" s="77"/>
    </row>
    <row r="48" spans="1:4" ht="63" thickBot="1" x14ac:dyDescent="0.35">
      <c r="A48" s="62" t="s">
        <v>272</v>
      </c>
      <c r="B48" s="63" t="s">
        <v>273</v>
      </c>
      <c r="C48" s="63" t="s">
        <v>274</v>
      </c>
      <c r="D48" s="64">
        <v>1</v>
      </c>
    </row>
    <row r="49" spans="1:4" ht="15.6" x14ac:dyDescent="0.3">
      <c r="A49" s="78" t="s">
        <v>275</v>
      </c>
      <c r="B49" s="41" t="s">
        <v>255</v>
      </c>
      <c r="C49" s="74" t="s">
        <v>260</v>
      </c>
      <c r="D49" s="76">
        <v>1</v>
      </c>
    </row>
    <row r="50" spans="1:4" ht="47.4" thickBot="1" x14ac:dyDescent="0.35">
      <c r="A50" s="79"/>
      <c r="B50" s="36" t="s">
        <v>276</v>
      </c>
      <c r="C50" s="75"/>
      <c r="D50" s="77"/>
    </row>
    <row r="51" spans="1:4" ht="63" thickBot="1" x14ac:dyDescent="0.35">
      <c r="A51" s="62" t="s">
        <v>277</v>
      </c>
      <c r="B51" s="63" t="s">
        <v>278</v>
      </c>
      <c r="C51" s="63" t="s">
        <v>274</v>
      </c>
      <c r="D51" s="64">
        <v>2</v>
      </c>
    </row>
    <row r="52" spans="1:4" ht="15.6" x14ac:dyDescent="0.3">
      <c r="A52" s="78" t="s">
        <v>279</v>
      </c>
      <c r="B52" s="41" t="s">
        <v>255</v>
      </c>
      <c r="C52" s="74" t="s">
        <v>260</v>
      </c>
      <c r="D52" s="76">
        <v>1</v>
      </c>
    </row>
    <row r="53" spans="1:4" ht="47.4" thickBot="1" x14ac:dyDescent="0.35">
      <c r="A53" s="79"/>
      <c r="B53" s="36" t="s">
        <v>280</v>
      </c>
      <c r="C53" s="75"/>
      <c r="D53" s="77"/>
    </row>
    <row r="54" spans="1:4" ht="15.6" x14ac:dyDescent="0.3">
      <c r="A54" s="68" t="s">
        <v>281</v>
      </c>
      <c r="B54" s="39" t="s">
        <v>255</v>
      </c>
      <c r="C54" s="70" t="s">
        <v>260</v>
      </c>
      <c r="D54" s="72">
        <v>1</v>
      </c>
    </row>
    <row r="55" spans="1:4" ht="47.4" thickBot="1" x14ac:dyDescent="0.35">
      <c r="A55" s="69"/>
      <c r="B55" s="63" t="s">
        <v>282</v>
      </c>
      <c r="C55" s="71"/>
      <c r="D55" s="73"/>
    </row>
    <row r="56" spans="1:4" ht="63" thickBot="1" x14ac:dyDescent="0.35">
      <c r="A56" s="35" t="s">
        <v>283</v>
      </c>
      <c r="B56" s="36" t="s">
        <v>284</v>
      </c>
      <c r="C56" s="36" t="s">
        <v>223</v>
      </c>
      <c r="D56" s="37">
        <v>1</v>
      </c>
    </row>
    <row r="57" spans="1:4" ht="15.6" x14ac:dyDescent="0.3">
      <c r="A57" s="68" t="s">
        <v>285</v>
      </c>
      <c r="B57" s="39" t="s">
        <v>255</v>
      </c>
      <c r="C57" s="70" t="s">
        <v>260</v>
      </c>
      <c r="D57" s="72">
        <v>1</v>
      </c>
    </row>
    <row r="58" spans="1:4" ht="47.4" thickBot="1" x14ac:dyDescent="0.35">
      <c r="A58" s="69"/>
      <c r="B58" s="63" t="s">
        <v>286</v>
      </c>
      <c r="C58" s="71"/>
      <c r="D58" s="73"/>
    </row>
    <row r="59" spans="1:4" ht="63" thickBot="1" x14ac:dyDescent="0.35">
      <c r="A59" s="35" t="s">
        <v>287</v>
      </c>
      <c r="B59" s="36" t="s">
        <v>288</v>
      </c>
      <c r="C59" s="36" t="s">
        <v>223</v>
      </c>
      <c r="D59" s="37">
        <v>1</v>
      </c>
    </row>
    <row r="60" spans="1:4" ht="15.6" x14ac:dyDescent="0.3">
      <c r="A60" s="68" t="s">
        <v>289</v>
      </c>
      <c r="B60" s="39" t="s">
        <v>255</v>
      </c>
      <c r="C60" s="70" t="s">
        <v>260</v>
      </c>
      <c r="D60" s="72">
        <v>1</v>
      </c>
    </row>
    <row r="61" spans="1:4" ht="47.4" thickBot="1" x14ac:dyDescent="0.35">
      <c r="A61" s="69"/>
      <c r="B61" s="63" t="s">
        <v>290</v>
      </c>
      <c r="C61" s="71"/>
      <c r="D61" s="73"/>
    </row>
    <row r="62" spans="1:4" ht="63" thickBot="1" x14ac:dyDescent="0.35">
      <c r="A62" s="35" t="s">
        <v>291</v>
      </c>
      <c r="B62" s="36" t="s">
        <v>292</v>
      </c>
      <c r="C62" s="36" t="s">
        <v>293</v>
      </c>
      <c r="D62" s="37">
        <v>1</v>
      </c>
    </row>
    <row r="63" spans="1:4" ht="15.6" x14ac:dyDescent="0.3">
      <c r="A63" s="68" t="s">
        <v>294</v>
      </c>
      <c r="B63" s="39" t="s">
        <v>255</v>
      </c>
      <c r="C63" s="70" t="s">
        <v>260</v>
      </c>
      <c r="D63" s="72">
        <v>1</v>
      </c>
    </row>
    <row r="64" spans="1:4" ht="47.4" thickBot="1" x14ac:dyDescent="0.35">
      <c r="A64" s="69"/>
      <c r="B64" s="63" t="s">
        <v>295</v>
      </c>
      <c r="C64" s="71"/>
      <c r="D64" s="73"/>
    </row>
    <row r="65" spans="1:4" ht="15.6" x14ac:dyDescent="0.3">
      <c r="A65" s="78" t="s">
        <v>296</v>
      </c>
      <c r="B65" s="41" t="s">
        <v>255</v>
      </c>
      <c r="C65" s="74" t="s">
        <v>260</v>
      </c>
      <c r="D65" s="76">
        <v>1</v>
      </c>
    </row>
    <row r="66" spans="1:4" ht="47.4" thickBot="1" x14ac:dyDescent="0.35">
      <c r="A66" s="79"/>
      <c r="B66" s="36" t="s">
        <v>297</v>
      </c>
      <c r="C66" s="75"/>
      <c r="D66" s="77"/>
    </row>
    <row r="67" spans="1:4" ht="46.8" x14ac:dyDescent="0.3">
      <c r="A67" s="68" t="s">
        <v>298</v>
      </c>
      <c r="B67" s="39" t="s">
        <v>262</v>
      </c>
      <c r="C67" s="70" t="s">
        <v>194</v>
      </c>
      <c r="D67" s="72">
        <v>6</v>
      </c>
    </row>
    <row r="68" spans="1:4" ht="47.4" thickBot="1" x14ac:dyDescent="0.35">
      <c r="A68" s="69"/>
      <c r="B68" s="63" t="s">
        <v>299</v>
      </c>
      <c r="C68" s="71"/>
      <c r="D68" s="73"/>
    </row>
    <row r="69" spans="1:4" ht="46.8" x14ac:dyDescent="0.3">
      <c r="A69" s="78" t="s">
        <v>300</v>
      </c>
      <c r="B69" s="41" t="s">
        <v>262</v>
      </c>
      <c r="C69" s="74" t="s">
        <v>194</v>
      </c>
      <c r="D69" s="76">
        <v>6</v>
      </c>
    </row>
    <row r="70" spans="1:4" ht="47.4" thickBot="1" x14ac:dyDescent="0.35">
      <c r="A70" s="79"/>
      <c r="B70" s="36" t="s">
        <v>301</v>
      </c>
      <c r="C70" s="75"/>
      <c r="D70" s="77"/>
    </row>
    <row r="71" spans="1:4" ht="94.2" thickBot="1" x14ac:dyDescent="0.35">
      <c r="A71" s="62" t="s">
        <v>302</v>
      </c>
      <c r="B71" s="63" t="s">
        <v>303</v>
      </c>
      <c r="C71" s="63" t="s">
        <v>304</v>
      </c>
      <c r="D71" s="64">
        <v>1</v>
      </c>
    </row>
    <row r="72" spans="1:4" ht="109.8" thickBot="1" x14ac:dyDescent="0.35">
      <c r="A72" s="35" t="s">
        <v>305</v>
      </c>
      <c r="B72" s="36" t="s">
        <v>306</v>
      </c>
      <c r="C72" s="36" t="s">
        <v>307</v>
      </c>
      <c r="D72" s="37">
        <v>1</v>
      </c>
    </row>
    <row r="73" spans="1:4" ht="141" thickBot="1" x14ac:dyDescent="0.35">
      <c r="A73" s="62" t="s">
        <v>308</v>
      </c>
      <c r="B73" s="63" t="s">
        <v>309</v>
      </c>
      <c r="C73" s="63" t="s">
        <v>307</v>
      </c>
      <c r="D73" s="64">
        <v>1</v>
      </c>
    </row>
    <row r="74" spans="1:4" ht="78.599999999999994" thickBot="1" x14ac:dyDescent="0.35">
      <c r="A74" s="35" t="s">
        <v>310</v>
      </c>
      <c r="B74" s="36" t="s">
        <v>311</v>
      </c>
      <c r="C74" s="36" t="s">
        <v>232</v>
      </c>
      <c r="D74" s="37">
        <v>1</v>
      </c>
    </row>
    <row r="75" spans="1:4" ht="63" thickBot="1" x14ac:dyDescent="0.35">
      <c r="A75" s="62" t="s">
        <v>312</v>
      </c>
      <c r="B75" s="63" t="s">
        <v>313</v>
      </c>
      <c r="C75" s="63" t="s">
        <v>314</v>
      </c>
      <c r="D75" s="64">
        <v>1</v>
      </c>
    </row>
    <row r="76" spans="1:4" ht="94.2" thickBot="1" x14ac:dyDescent="0.35">
      <c r="A76" s="35" t="s">
        <v>315</v>
      </c>
      <c r="B76" s="36" t="s">
        <v>316</v>
      </c>
      <c r="C76" s="36" t="s">
        <v>307</v>
      </c>
      <c r="D76" s="37">
        <v>1</v>
      </c>
    </row>
    <row r="77" spans="1:4" ht="62.4" x14ac:dyDescent="0.3">
      <c r="A77" s="68" t="s">
        <v>317</v>
      </c>
      <c r="B77" s="39" t="s">
        <v>318</v>
      </c>
      <c r="C77" s="70" t="s">
        <v>307</v>
      </c>
      <c r="D77" s="72">
        <v>1</v>
      </c>
    </row>
    <row r="78" spans="1:4" ht="31.8" thickBot="1" x14ac:dyDescent="0.35">
      <c r="A78" s="69"/>
      <c r="B78" s="63" t="s">
        <v>319</v>
      </c>
      <c r="C78" s="71"/>
      <c r="D78" s="73"/>
    </row>
    <row r="79" spans="1:4" ht="62.4" x14ac:dyDescent="0.3">
      <c r="A79" s="78" t="s">
        <v>320</v>
      </c>
      <c r="B79" s="41" t="s">
        <v>321</v>
      </c>
      <c r="C79" s="74" t="s">
        <v>307</v>
      </c>
      <c r="D79" s="76">
        <v>1</v>
      </c>
    </row>
    <row r="80" spans="1:4" ht="31.8" thickBot="1" x14ac:dyDescent="0.35">
      <c r="A80" s="79"/>
      <c r="B80" s="36" t="s">
        <v>322</v>
      </c>
      <c r="C80" s="75"/>
      <c r="D80" s="77"/>
    </row>
    <row r="81" spans="1:4" ht="62.4" x14ac:dyDescent="0.3">
      <c r="A81" s="68" t="s">
        <v>323</v>
      </c>
      <c r="B81" s="39" t="s">
        <v>324</v>
      </c>
      <c r="C81" s="70" t="s">
        <v>307</v>
      </c>
      <c r="D81" s="72">
        <v>1</v>
      </c>
    </row>
    <row r="82" spans="1:4" ht="31.8" thickBot="1" x14ac:dyDescent="0.35">
      <c r="A82" s="69"/>
      <c r="B82" s="63" t="s">
        <v>325</v>
      </c>
      <c r="C82" s="71"/>
      <c r="D82" s="73"/>
    </row>
    <row r="83" spans="1:4" ht="78.599999999999994" thickBot="1" x14ac:dyDescent="0.35">
      <c r="A83" s="35" t="s">
        <v>326</v>
      </c>
      <c r="B83" s="36" t="s">
        <v>327</v>
      </c>
      <c r="C83" s="36" t="s">
        <v>328</v>
      </c>
      <c r="D83" s="37">
        <v>1</v>
      </c>
    </row>
    <row r="84" spans="1:4" ht="31.2" x14ac:dyDescent="0.3">
      <c r="A84" s="68" t="s">
        <v>329</v>
      </c>
      <c r="B84" s="39" t="s">
        <v>330</v>
      </c>
      <c r="C84" s="70" t="s">
        <v>332</v>
      </c>
      <c r="D84" s="72">
        <v>1</v>
      </c>
    </row>
    <row r="85" spans="1:4" ht="31.8" thickBot="1" x14ac:dyDescent="0.35">
      <c r="A85" s="69"/>
      <c r="B85" s="63" t="s">
        <v>331</v>
      </c>
      <c r="C85" s="71"/>
      <c r="D85" s="73"/>
    </row>
    <row r="86" spans="1:4" ht="47.4" thickBot="1" x14ac:dyDescent="0.35">
      <c r="A86" s="35">
        <v>1</v>
      </c>
      <c r="B86" s="36" t="s">
        <v>140</v>
      </c>
      <c r="C86" s="36" t="s">
        <v>141</v>
      </c>
      <c r="D86" s="37">
        <v>1</v>
      </c>
    </row>
    <row r="87" spans="1:4" ht="141" thickBot="1" x14ac:dyDescent="0.35">
      <c r="A87" s="45">
        <v>13</v>
      </c>
      <c r="B87" s="66" t="s">
        <v>333</v>
      </c>
      <c r="C87" s="63" t="s">
        <v>142</v>
      </c>
      <c r="D87" s="64" t="s">
        <v>334</v>
      </c>
    </row>
    <row r="88" spans="1:4" ht="78" x14ac:dyDescent="0.3">
      <c r="A88" s="40">
        <v>14</v>
      </c>
      <c r="B88" s="41" t="s">
        <v>157</v>
      </c>
      <c r="C88" s="74" t="s">
        <v>158</v>
      </c>
      <c r="D88" s="76">
        <v>1</v>
      </c>
    </row>
    <row r="89" spans="1:4" ht="47.4" thickBot="1" x14ac:dyDescent="0.35">
      <c r="A89" s="65" t="s">
        <v>335</v>
      </c>
      <c r="B89" s="36" t="s">
        <v>336</v>
      </c>
      <c r="C89" s="75"/>
      <c r="D89" s="77"/>
    </row>
    <row r="90" spans="1:4" ht="63" customHeight="1" x14ac:dyDescent="0.3">
      <c r="A90" s="52">
        <v>15</v>
      </c>
      <c r="B90" s="70" t="s">
        <v>338</v>
      </c>
      <c r="C90" s="70" t="s">
        <v>159</v>
      </c>
      <c r="D90" s="72">
        <v>2</v>
      </c>
    </row>
    <row r="91" spans="1:4" ht="15" thickBot="1" x14ac:dyDescent="0.35">
      <c r="A91" s="67" t="s">
        <v>337</v>
      </c>
      <c r="B91" s="71"/>
      <c r="C91" s="71"/>
      <c r="D91" s="73"/>
    </row>
    <row r="92" spans="1:4" ht="31.2" x14ac:dyDescent="0.3">
      <c r="A92" s="40">
        <v>16</v>
      </c>
      <c r="B92" s="41" t="s">
        <v>160</v>
      </c>
      <c r="C92" s="74" t="s">
        <v>161</v>
      </c>
      <c r="D92" s="76">
        <v>1</v>
      </c>
    </row>
    <row r="93" spans="1:4" ht="31.8" thickBot="1" x14ac:dyDescent="0.35">
      <c r="A93" s="65" t="s">
        <v>339</v>
      </c>
      <c r="B93" s="36" t="s">
        <v>340</v>
      </c>
      <c r="C93" s="75"/>
      <c r="D93" s="77"/>
    </row>
    <row r="94" spans="1:4" ht="15.6" x14ac:dyDescent="0.3">
      <c r="A94" s="52">
        <v>17</v>
      </c>
      <c r="B94" s="39" t="s">
        <v>162</v>
      </c>
      <c r="C94" s="70" t="s">
        <v>163</v>
      </c>
      <c r="D94" s="72">
        <v>1</v>
      </c>
    </row>
    <row r="95" spans="1:4" ht="47.4" thickBot="1" x14ac:dyDescent="0.35">
      <c r="A95" s="67" t="s">
        <v>341</v>
      </c>
      <c r="B95" s="63" t="s">
        <v>342</v>
      </c>
      <c r="C95" s="71"/>
      <c r="D95" s="73"/>
    </row>
    <row r="96" spans="1:4" ht="15.6" x14ac:dyDescent="0.3">
      <c r="A96" s="40">
        <v>18</v>
      </c>
      <c r="B96" s="41" t="s">
        <v>164</v>
      </c>
      <c r="C96" s="74" t="s">
        <v>163</v>
      </c>
      <c r="D96" s="76">
        <v>1</v>
      </c>
    </row>
    <row r="97" spans="1:4" ht="47.4" thickBot="1" x14ac:dyDescent="0.35">
      <c r="A97" s="65" t="s">
        <v>343</v>
      </c>
      <c r="B97" s="36" t="s">
        <v>344</v>
      </c>
      <c r="C97" s="75"/>
      <c r="D97" s="77"/>
    </row>
    <row r="98" spans="1:4" ht="15.6" x14ac:dyDescent="0.3">
      <c r="A98" s="80">
        <v>20</v>
      </c>
      <c r="B98" s="38" t="s">
        <v>143</v>
      </c>
      <c r="C98" s="70" t="s">
        <v>144</v>
      </c>
      <c r="D98" s="72">
        <v>1</v>
      </c>
    </row>
    <row r="99" spans="1:4" ht="31.8" thickBot="1" x14ac:dyDescent="0.35">
      <c r="A99" s="81"/>
      <c r="B99" s="66" t="s">
        <v>345</v>
      </c>
      <c r="C99" s="71"/>
      <c r="D99" s="73"/>
    </row>
    <row r="100" spans="1:4" ht="46.8" x14ac:dyDescent="0.3">
      <c r="A100" s="78">
        <v>21</v>
      </c>
      <c r="B100" s="41" t="s">
        <v>145</v>
      </c>
      <c r="C100" s="74" t="s">
        <v>146</v>
      </c>
      <c r="D100" s="76">
        <v>1</v>
      </c>
    </row>
    <row r="101" spans="1:4" ht="16.2" thickBot="1" x14ac:dyDescent="0.35">
      <c r="A101" s="79"/>
      <c r="B101" s="36" t="s">
        <v>346</v>
      </c>
      <c r="C101" s="75"/>
      <c r="D101" s="77"/>
    </row>
    <row r="102" spans="1:4" ht="46.8" x14ac:dyDescent="0.3">
      <c r="A102" s="80">
        <v>22</v>
      </c>
      <c r="B102" s="38" t="s">
        <v>147</v>
      </c>
      <c r="C102" s="70" t="s">
        <v>146</v>
      </c>
      <c r="D102" s="72">
        <v>1</v>
      </c>
    </row>
    <row r="103" spans="1:4" ht="16.2" thickBot="1" x14ac:dyDescent="0.35">
      <c r="A103" s="81"/>
      <c r="B103" s="66" t="s">
        <v>347</v>
      </c>
      <c r="C103" s="71"/>
      <c r="D103" s="73"/>
    </row>
    <row r="104" spans="1:4" ht="46.8" x14ac:dyDescent="0.3">
      <c r="A104" s="78">
        <v>23</v>
      </c>
      <c r="B104" s="41" t="s">
        <v>148</v>
      </c>
      <c r="C104" s="74" t="s">
        <v>146</v>
      </c>
      <c r="D104" s="76">
        <v>1</v>
      </c>
    </row>
    <row r="105" spans="1:4" ht="16.2" thickBot="1" x14ac:dyDescent="0.35">
      <c r="A105" s="79"/>
      <c r="B105" s="36" t="s">
        <v>348</v>
      </c>
      <c r="C105" s="75"/>
      <c r="D105" s="77"/>
    </row>
    <row r="106" spans="1:4" ht="46.8" x14ac:dyDescent="0.3">
      <c r="A106" s="80">
        <v>24</v>
      </c>
      <c r="B106" s="38" t="s">
        <v>149</v>
      </c>
      <c r="C106" s="70" t="s">
        <v>146</v>
      </c>
      <c r="D106" s="72">
        <v>1</v>
      </c>
    </row>
    <row r="107" spans="1:4" ht="16.2" thickBot="1" x14ac:dyDescent="0.35">
      <c r="A107" s="81"/>
      <c r="B107" s="66" t="s">
        <v>349</v>
      </c>
      <c r="C107" s="71"/>
      <c r="D107" s="73"/>
    </row>
    <row r="108" spans="1:4" ht="46.8" x14ac:dyDescent="0.3">
      <c r="A108" s="78">
        <v>25</v>
      </c>
      <c r="B108" s="41" t="s">
        <v>150</v>
      </c>
      <c r="C108" s="74" t="s">
        <v>146</v>
      </c>
      <c r="D108" s="76">
        <v>1</v>
      </c>
    </row>
    <row r="109" spans="1:4" ht="16.2" thickBot="1" x14ac:dyDescent="0.35">
      <c r="A109" s="79"/>
      <c r="B109" s="36" t="s">
        <v>350</v>
      </c>
      <c r="C109" s="75"/>
      <c r="D109" s="77"/>
    </row>
    <row r="110" spans="1:4" ht="46.8" x14ac:dyDescent="0.3">
      <c r="A110" s="80">
        <v>26</v>
      </c>
      <c r="B110" s="38" t="s">
        <v>151</v>
      </c>
      <c r="C110" s="70" t="s">
        <v>146</v>
      </c>
      <c r="D110" s="72">
        <v>1</v>
      </c>
    </row>
    <row r="111" spans="1:4" ht="31.8" thickBot="1" x14ac:dyDescent="0.35">
      <c r="A111" s="81"/>
      <c r="B111" s="66" t="s">
        <v>351</v>
      </c>
      <c r="C111" s="71"/>
      <c r="D111" s="73"/>
    </row>
    <row r="112" spans="1:4" x14ac:dyDescent="0.3">
      <c r="A112" s="82" t="s">
        <v>352</v>
      </c>
    </row>
  </sheetData>
  <customSheetViews>
    <customSheetView guid="{85B28F95-3488-41DC-90A4-160F98D9658E}">
      <selection activeCell="B3" sqref="B3"/>
      <pageMargins left="0.7" right="0.7" top="0.75" bottom="0.75" header="0.3" footer="0.3"/>
    </customSheetView>
  </customSheetViews>
  <mergeCells count="112">
    <mergeCell ref="A108:A109"/>
    <mergeCell ref="C108:C109"/>
    <mergeCell ref="D108:D109"/>
    <mergeCell ref="A110:A111"/>
    <mergeCell ref="C110:C111"/>
    <mergeCell ref="D110:D111"/>
    <mergeCell ref="A104:A105"/>
    <mergeCell ref="C104:C105"/>
    <mergeCell ref="D104:D105"/>
    <mergeCell ref="A106:A107"/>
    <mergeCell ref="C106:C107"/>
    <mergeCell ref="D106:D107"/>
    <mergeCell ref="A100:A101"/>
    <mergeCell ref="C100:C101"/>
    <mergeCell ref="D100:D101"/>
    <mergeCell ref="A102:A103"/>
    <mergeCell ref="C102:C103"/>
    <mergeCell ref="D102:D103"/>
    <mergeCell ref="C94:C95"/>
    <mergeCell ref="D94:D95"/>
    <mergeCell ref="C96:C97"/>
    <mergeCell ref="D96:D97"/>
    <mergeCell ref="A98:A99"/>
    <mergeCell ref="C98:C99"/>
    <mergeCell ref="D98:D99"/>
    <mergeCell ref="C88:C89"/>
    <mergeCell ref="D88:D89"/>
    <mergeCell ref="B90:B91"/>
    <mergeCell ref="C90:C91"/>
    <mergeCell ref="D90:D91"/>
    <mergeCell ref="C92:C93"/>
    <mergeCell ref="D92:D93"/>
    <mergeCell ref="A81:A82"/>
    <mergeCell ref="C81:C82"/>
    <mergeCell ref="D81:D82"/>
    <mergeCell ref="A84:A85"/>
    <mergeCell ref="C84:C85"/>
    <mergeCell ref="D84:D85"/>
    <mergeCell ref="A77:A78"/>
    <mergeCell ref="C77:C78"/>
    <mergeCell ref="D77:D78"/>
    <mergeCell ref="A79:A80"/>
    <mergeCell ref="C79:C80"/>
    <mergeCell ref="D79:D80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7:A58"/>
    <mergeCell ref="C57:C58"/>
    <mergeCell ref="D57:D58"/>
    <mergeCell ref="A60:A61"/>
    <mergeCell ref="C60:C61"/>
    <mergeCell ref="D60:D61"/>
    <mergeCell ref="A52:A53"/>
    <mergeCell ref="C52:C53"/>
    <mergeCell ref="D52:D53"/>
    <mergeCell ref="A54:A55"/>
    <mergeCell ref="C54:C55"/>
    <mergeCell ref="D54:D55"/>
    <mergeCell ref="A46:A47"/>
    <mergeCell ref="C46:C47"/>
    <mergeCell ref="D46:D47"/>
    <mergeCell ref="A49:A50"/>
    <mergeCell ref="C49:C50"/>
    <mergeCell ref="D49:D50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28:A29"/>
    <mergeCell ref="C28:C29"/>
    <mergeCell ref="D28:D29"/>
    <mergeCell ref="A30:A31"/>
    <mergeCell ref="C30:C31"/>
    <mergeCell ref="D30:D31"/>
    <mergeCell ref="A24:A25"/>
    <mergeCell ref="C24:C25"/>
    <mergeCell ref="D24:D25"/>
    <mergeCell ref="A26:A27"/>
    <mergeCell ref="C26:C27"/>
    <mergeCell ref="D26:D27"/>
    <mergeCell ref="A16:A17"/>
    <mergeCell ref="C16:C17"/>
    <mergeCell ref="D16:D17"/>
    <mergeCell ref="C18:C19"/>
    <mergeCell ref="D18:D19"/>
    <mergeCell ref="A20:A21"/>
    <mergeCell ref="C20:C21"/>
    <mergeCell ref="D20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BOM_word</vt:lpstr>
      <vt:lpstr>BOM_template</vt:lpstr>
      <vt:lpstr>BOM_SW</vt:lpstr>
      <vt:lpstr>BOM_elec</vt:lpstr>
      <vt:lpstr>BOM_word!_ftn1</vt:lpstr>
      <vt:lpstr>BOM_word!_ftnref1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2025-12-14T13:04:05Z</dcterms:created>
  <dcterms:modified xsi:type="dcterms:W3CDTF">2026-01-11T11:29:56Z</dcterms:modified>
</cp:coreProperties>
</file>