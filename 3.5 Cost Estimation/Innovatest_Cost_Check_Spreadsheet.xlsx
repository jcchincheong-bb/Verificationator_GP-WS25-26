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G:\My Drive\HSRW\Semester 5\Group Project\Group-Project_WS2526\3.5 Cost Estimation\"/>
    </mc:Choice>
  </mc:AlternateContent>
  <xr:revisionPtr revIDLastSave="0" documentId="13_ncr:1_{84FFE92B-80CF-461A-8D50-19BDC4EA8682}" xr6:coauthVersionLast="47" xr6:coauthVersionMax="47" xr10:uidLastSave="{00000000-0000-0000-0000-000000000000}"/>
  <bookViews>
    <workbookView xWindow="-108" yWindow="-108" windowWidth="23256" windowHeight="12576" activeTab="6" xr2:uid="{00000000-000D-0000-FFFF-FFFF00000000}"/>
  </bookViews>
  <sheets>
    <sheet name="Direct_Materials" sheetId="1" r:id="rId1"/>
    <sheet name="Raw_Materials" sheetId="2" r:id="rId2"/>
    <sheet name="Labor" sheetId="3" r:id="rId3"/>
    <sheet name="Machine_Dep" sheetId="6" r:id="rId4"/>
    <sheet name="Utility" sheetId="7" r:id="rId5"/>
    <sheet name="Rent" sheetId="8" r:id="rId6"/>
    <sheet name="Summary" sheetId="5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9" i="5" l="1"/>
  <c r="C17" i="5"/>
  <c r="B18" i="5"/>
  <c r="B20" i="5" s="1"/>
  <c r="C2" i="8"/>
  <c r="B5" i="8"/>
  <c r="E13" i="6"/>
  <c r="E12" i="6"/>
  <c r="E11" i="6"/>
  <c r="E10" i="6"/>
  <c r="E9" i="6"/>
  <c r="E8" i="6"/>
  <c r="E7" i="6"/>
  <c r="E6" i="6"/>
  <c r="E5" i="6"/>
  <c r="E4" i="6"/>
  <c r="E3" i="6"/>
  <c r="E2" i="6"/>
  <c r="B10" i="1" l="1"/>
  <c r="B8" i="5"/>
  <c r="B3" i="5"/>
  <c r="B3" i="3"/>
  <c r="B4" i="3" s="1"/>
  <c r="B6" i="5" s="1"/>
  <c r="B4" i="8"/>
  <c r="B9" i="5" s="1"/>
  <c r="E14" i="7"/>
  <c r="E3" i="7"/>
  <c r="E4" i="7"/>
  <c r="E5" i="7"/>
  <c r="E6" i="7"/>
  <c r="E7" i="7"/>
  <c r="E8" i="7"/>
  <c r="E9" i="7"/>
  <c r="E10" i="7"/>
  <c r="E11" i="7"/>
  <c r="E12" i="7"/>
  <c r="E13" i="7"/>
  <c r="E2" i="7"/>
  <c r="D13" i="6" l="1"/>
  <c r="G13" i="6" s="1"/>
  <c r="D11" i="6"/>
  <c r="G11" i="6" s="1"/>
  <c r="D3" i="6"/>
  <c r="G3" i="6" s="1"/>
  <c r="D4" i="6"/>
  <c r="G4" i="6" s="1"/>
  <c r="D5" i="6"/>
  <c r="G5" i="6" s="1"/>
  <c r="D6" i="6"/>
  <c r="G6" i="6" s="1"/>
  <c r="D7" i="6"/>
  <c r="G7" i="6" s="1"/>
  <c r="D8" i="6"/>
  <c r="G8" i="6" s="1"/>
  <c r="D9" i="6"/>
  <c r="G9" i="6" s="1"/>
  <c r="D10" i="6"/>
  <c r="G10" i="6" s="1"/>
  <c r="D12" i="6"/>
  <c r="G12" i="6" s="1"/>
  <c r="D2" i="6"/>
  <c r="G2" i="6" s="1"/>
  <c r="D3" i="2"/>
  <c r="D4" i="2"/>
  <c r="D5" i="2"/>
  <c r="D2" i="2"/>
  <c r="D7" i="2" s="1"/>
  <c r="B2" i="5"/>
  <c r="B5" i="5" l="1"/>
  <c r="C4" i="5"/>
  <c r="G14" i="6"/>
  <c r="B7" i="5" s="1"/>
  <c r="B10" i="5" s="1"/>
  <c r="B11" i="5" s="1"/>
  <c r="B15" i="5" l="1"/>
  <c r="C14" i="5"/>
  <c r="C13" i="5"/>
</calcChain>
</file>

<file path=xl/sharedStrings.xml><?xml version="1.0" encoding="utf-8"?>
<sst xmlns="http://schemas.openxmlformats.org/spreadsheetml/2006/main" count="87" uniqueCount="69">
  <si>
    <t>Subsystem</t>
  </si>
  <si>
    <t>Processing &amp; Control</t>
  </si>
  <si>
    <t>Measurement Chain</t>
  </si>
  <si>
    <t>Power System</t>
  </si>
  <si>
    <t>PCB &amp; Passives</t>
  </si>
  <si>
    <t>Material</t>
  </si>
  <si>
    <t>Polycarbonate</t>
  </si>
  <si>
    <t>ABS</t>
  </si>
  <si>
    <t>5052 Aluminum</t>
  </si>
  <si>
    <t>EVA/PU Foam</t>
  </si>
  <si>
    <t>Machine</t>
  </si>
  <si>
    <t>3D Printer</t>
  </si>
  <si>
    <t>Extrusion Press</t>
  </si>
  <si>
    <t>Drill</t>
  </si>
  <si>
    <t>Reamer</t>
  </si>
  <si>
    <t>Laser Cutter</t>
  </si>
  <si>
    <t>Welding Plant</t>
  </si>
  <si>
    <t>Item</t>
  </si>
  <si>
    <t>€ per Unit</t>
  </si>
  <si>
    <t>Admin Overhead</t>
  </si>
  <si>
    <t>Total</t>
  </si>
  <si>
    <t>4-Axis CNC Milling Machine</t>
  </si>
  <si>
    <t>3-Axis CNC Contour Machine</t>
  </si>
  <si>
    <t>3-Axis CNC Milling Machine</t>
  </si>
  <si>
    <t>Automated Pick-and-Place Machine</t>
  </si>
  <si>
    <t>Reflow Oven</t>
  </si>
  <si>
    <t>Hand Soldering Station</t>
  </si>
  <si>
    <t>Annual Depreciation Rate</t>
  </si>
  <si>
    <t>Power [kW]</t>
  </si>
  <si>
    <t>Machine Hourly Rate [€/h]</t>
  </si>
  <si>
    <t>Machine Hours per Unit [h/unit]</t>
  </si>
  <si>
    <t>Machine Cost per Unit [€/unit]</t>
  </si>
  <si>
    <t>Utility Cost per Unit [€/unit]</t>
  </si>
  <si>
    <t>Cost per kWh [€/kWh]</t>
  </si>
  <si>
    <t>Size [m^2]</t>
  </si>
  <si>
    <t>Additional Cost percent [-]</t>
  </si>
  <si>
    <t>Rent per square meter [€/m^2]</t>
  </si>
  <si>
    <t>Rent per Unit  [€/unit]</t>
  </si>
  <si>
    <t>Total Annual Rent  [€/year]</t>
  </si>
  <si>
    <t>Quantity [kg]</t>
  </si>
  <si>
    <t>Cost [€]</t>
  </si>
  <si>
    <t>Hourly Wage [€/h]</t>
  </si>
  <si>
    <t>Annual Labour Cost [€]</t>
  </si>
  <si>
    <t>Annual Working Hours [h]</t>
  </si>
  <si>
    <t>Labour Cost per Unit [€/unit]</t>
  </si>
  <si>
    <t>Direct Material Costs [€/unit]</t>
  </si>
  <si>
    <t>Raw Material Costs  [€/unit]</t>
  </si>
  <si>
    <t>Labor Costs  [€/unit]</t>
  </si>
  <si>
    <t>Material Overhead  [-]</t>
  </si>
  <si>
    <t xml:space="preserve">Machine Costs [€/unit] </t>
  </si>
  <si>
    <t>Rent [€/unit]</t>
  </si>
  <si>
    <t>Utility Costs [€/unit]</t>
  </si>
  <si>
    <t>Total Material Costs [€/unit]</t>
  </si>
  <si>
    <t>Production Costs [€/unit]</t>
  </si>
  <si>
    <t>Marketing &amp; Sales Overhead</t>
  </si>
  <si>
    <t>COGS [€/unit]</t>
  </si>
  <si>
    <t>Profit Margin</t>
  </si>
  <si>
    <t>Distributor Commission</t>
  </si>
  <si>
    <t>Final Offer Price</t>
  </si>
  <si>
    <t>Manufacturing Costs [€/unit]</t>
  </si>
  <si>
    <t>Protective Case</t>
  </si>
  <si>
    <t>Miscellanous Mechanical Components</t>
  </si>
  <si>
    <t>Load Cells</t>
  </si>
  <si>
    <t>HMI</t>
  </si>
  <si>
    <t>Total Cost [€]</t>
  </si>
  <si>
    <t>Cost per kg [€/kg]</t>
  </si>
  <si>
    <t>Depreciation Per Year [€/year]</t>
  </si>
  <si>
    <t>Real Machine availability [minutes/year]</t>
  </si>
  <si>
    <t>Cash Selling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</si>
</sst>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8" formatCode="0.0000"/>
    <numFmt numFmtId="169" formatCode="0.000"/>
    <numFmt numFmtId="174" formatCode="0.0000000"/>
    <numFmt numFmtId="176" formatCode="0.0000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/>
    <xf numFmtId="0" fontId="1" fillId="0" borderId="0" xfId="0" applyFont="1" applyBorder="1"/>
    <xf numFmtId="9" fontId="1" fillId="0" borderId="0" xfId="0" applyNumberFormat="1" applyFont="1"/>
    <xf numFmtId="0" fontId="1" fillId="0" borderId="1" xfId="0" applyFont="1" applyBorder="1"/>
    <xf numFmtId="0" fontId="2" fillId="0" borderId="2" xfId="0" applyFont="1" applyBorder="1"/>
    <xf numFmtId="0" fontId="1" fillId="0" borderId="2" xfId="0" applyFont="1" applyBorder="1"/>
    <xf numFmtId="0" fontId="2" fillId="0" borderId="3" xfId="0" applyFont="1" applyBorder="1"/>
    <xf numFmtId="0" fontId="1" fillId="0" borderId="3" xfId="0" applyFont="1" applyBorder="1"/>
    <xf numFmtId="0" fontId="2" fillId="0" borderId="0" xfId="0" applyFont="1" applyBorder="1"/>
    <xf numFmtId="2" fontId="1" fillId="0" borderId="0" xfId="0" applyNumberFormat="1" applyFont="1"/>
    <xf numFmtId="2" fontId="1" fillId="0" borderId="2" xfId="0" applyNumberFormat="1" applyFont="1" applyBorder="1"/>
    <xf numFmtId="0" fontId="3" fillId="0" borderId="0" xfId="0" applyFont="1" applyBorder="1" applyAlignment="1">
      <alignment horizontal="center" vertical="center" wrapText="1"/>
    </xf>
    <xf numFmtId="0" fontId="3" fillId="0" borderId="0" xfId="0" applyFont="1" applyBorder="1" applyAlignment="1">
      <alignment vertical="center" wrapText="1"/>
    </xf>
    <xf numFmtId="0" fontId="4" fillId="0" borderId="0" xfId="0" applyFont="1" applyBorder="1" applyAlignment="1">
      <alignment horizontal="center" vertical="center" wrapText="1"/>
    </xf>
    <xf numFmtId="9" fontId="4" fillId="0" borderId="0" xfId="0" applyNumberFormat="1" applyFont="1" applyBorder="1" applyAlignment="1">
      <alignment horizontal="center" vertical="center" wrapText="1"/>
    </xf>
    <xf numFmtId="0" fontId="4" fillId="0" borderId="0" xfId="0" applyFont="1" applyBorder="1"/>
    <xf numFmtId="0" fontId="4" fillId="0" borderId="0" xfId="0" applyFont="1" applyBorder="1" applyAlignment="1">
      <alignment vertical="center" wrapText="1"/>
    </xf>
    <xf numFmtId="9" fontId="4" fillId="0" borderId="0" xfId="0" applyNumberFormat="1" applyFont="1" applyBorder="1" applyAlignment="1">
      <alignment vertical="center" wrapText="1"/>
    </xf>
    <xf numFmtId="0" fontId="4" fillId="0" borderId="0" xfId="0" applyFont="1" applyFill="1" applyBorder="1" applyAlignment="1">
      <alignment horizontal="center" vertical="center" wrapText="1"/>
    </xf>
    <xf numFmtId="174" fontId="4" fillId="0" borderId="0" xfId="0" applyNumberFormat="1" applyFont="1" applyBorder="1"/>
    <xf numFmtId="176" fontId="4" fillId="0" borderId="0" xfId="0" applyNumberFormat="1" applyFont="1" applyBorder="1"/>
    <xf numFmtId="168" fontId="4" fillId="0" borderId="0" xfId="0" applyNumberFormat="1" applyFont="1" applyBorder="1"/>
    <xf numFmtId="169" fontId="4" fillId="0" borderId="0" xfId="0" applyNumberFormat="1" applyFont="1" applyBorder="1"/>
    <xf numFmtId="2" fontId="4" fillId="0" borderId="0" xfId="0" applyNumberFormat="1" applyFont="1" applyBorder="1"/>
    <xf numFmtId="0" fontId="4" fillId="0" borderId="0" xfId="0" applyFont="1" applyFill="1" applyBorder="1" applyAlignment="1">
      <alignment vertical="center" wrapText="1"/>
    </xf>
    <xf numFmtId="0" fontId="4" fillId="0" borderId="0" xfId="0" applyFont="1" applyBorder="1" applyAlignment="1">
      <alignment horizontal="left" vertical="center" wrapText="1"/>
    </xf>
    <xf numFmtId="176" fontId="4" fillId="0" borderId="0" xfId="0" applyNumberFormat="1" applyFont="1" applyBorder="1" applyAlignment="1">
      <alignment horizontal="center" vertical="center" wrapText="1"/>
    </xf>
    <xf numFmtId="2" fontId="4" fillId="0" borderId="0" xfId="0" applyNumberFormat="1" applyFont="1" applyBorder="1" applyAlignment="1">
      <alignment horizontal="center" vertical="center" wrapText="1"/>
    </xf>
    <xf numFmtId="1" fontId="4" fillId="0" borderId="0" xfId="0" applyNumberFormat="1" applyFont="1" applyBorder="1" applyAlignment="1">
      <alignment horizontal="center" vertical="center" wrapText="1"/>
    </xf>
    <xf numFmtId="2" fontId="1" fillId="0" borderId="0" xfId="0" applyNumberFormat="1" applyFont="1" applyBorder="1"/>
    <xf numFmtId="2" fontId="1" fillId="0" borderId="3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zoomScale="205" zoomScaleNormal="205" workbookViewId="0">
      <selection activeCell="B2" sqref="B2:B9"/>
    </sheetView>
  </sheetViews>
  <sheetFormatPr defaultRowHeight="14.4" x14ac:dyDescent="0.3"/>
  <cols>
    <col min="1" max="1" width="33.33203125" customWidth="1"/>
    <col min="2" max="2" width="13.21875" customWidth="1"/>
  </cols>
  <sheetData>
    <row r="1" spans="1:2" x14ac:dyDescent="0.3">
      <c r="A1" s="1" t="s">
        <v>0</v>
      </c>
      <c r="B1" s="1" t="s">
        <v>64</v>
      </c>
    </row>
    <row r="2" spans="1:2" x14ac:dyDescent="0.3">
      <c r="A2" s="1" t="s">
        <v>1</v>
      </c>
      <c r="B2" s="1">
        <v>5</v>
      </c>
    </row>
    <row r="3" spans="1:2" x14ac:dyDescent="0.3">
      <c r="A3" s="1" t="s">
        <v>2</v>
      </c>
      <c r="B3" s="1">
        <v>15</v>
      </c>
    </row>
    <row r="4" spans="1:2" x14ac:dyDescent="0.3">
      <c r="A4" s="1" t="s">
        <v>63</v>
      </c>
      <c r="B4" s="1">
        <v>30</v>
      </c>
    </row>
    <row r="5" spans="1:2" x14ac:dyDescent="0.3">
      <c r="A5" s="1" t="s">
        <v>3</v>
      </c>
      <c r="B5" s="1">
        <v>10</v>
      </c>
    </row>
    <row r="6" spans="1:2" x14ac:dyDescent="0.3">
      <c r="A6" s="1" t="s">
        <v>4</v>
      </c>
      <c r="B6" s="1">
        <v>14</v>
      </c>
    </row>
    <row r="7" spans="1:2" x14ac:dyDescent="0.3">
      <c r="A7" s="1" t="s">
        <v>60</v>
      </c>
      <c r="B7" s="1">
        <v>220</v>
      </c>
    </row>
    <row r="8" spans="1:2" x14ac:dyDescent="0.3">
      <c r="A8" s="1" t="s">
        <v>61</v>
      </c>
      <c r="B8" s="1">
        <v>10</v>
      </c>
    </row>
    <row r="9" spans="1:2" x14ac:dyDescent="0.3">
      <c r="A9" s="1" t="s">
        <v>62</v>
      </c>
      <c r="B9" s="1">
        <v>2844</v>
      </c>
    </row>
    <row r="10" spans="1:2" x14ac:dyDescent="0.3">
      <c r="A10" s="1" t="s">
        <v>20</v>
      </c>
      <c r="B10" s="1">
        <f>SUM(B2:B9)</f>
        <v>3148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7"/>
  <sheetViews>
    <sheetView zoomScale="190" zoomScaleNormal="190" workbookViewId="0">
      <selection activeCell="C2" sqref="C2"/>
    </sheetView>
  </sheetViews>
  <sheetFormatPr defaultRowHeight="13.8" x14ac:dyDescent="0.25"/>
  <cols>
    <col min="1" max="16384" width="8.88671875" style="1"/>
  </cols>
  <sheetData>
    <row r="1" spans="1:4" x14ac:dyDescent="0.25">
      <c r="A1" s="1" t="s">
        <v>5</v>
      </c>
      <c r="B1" s="1" t="s">
        <v>39</v>
      </c>
      <c r="C1" s="1" t="s">
        <v>65</v>
      </c>
      <c r="D1" s="1" t="s">
        <v>40</v>
      </c>
    </row>
    <row r="2" spans="1:4" x14ac:dyDescent="0.25">
      <c r="A2" s="1" t="s">
        <v>6</v>
      </c>
      <c r="B2" s="1">
        <v>0.12</v>
      </c>
      <c r="C2" s="1">
        <v>3.5</v>
      </c>
      <c r="D2" s="1">
        <f>B2*C2</f>
        <v>0.42</v>
      </c>
    </row>
    <row r="3" spans="1:4" x14ac:dyDescent="0.25">
      <c r="A3" s="1" t="s">
        <v>7</v>
      </c>
      <c r="B3" s="1">
        <v>0.08</v>
      </c>
      <c r="C3" s="1">
        <v>2.5</v>
      </c>
      <c r="D3" s="1">
        <f t="shared" ref="D3:D5" si="0">B3*C3</f>
        <v>0.2</v>
      </c>
    </row>
    <row r="4" spans="1:4" x14ac:dyDescent="0.25">
      <c r="A4" s="1" t="s">
        <v>8</v>
      </c>
      <c r="B4" s="1">
        <v>6.6</v>
      </c>
      <c r="C4" s="1">
        <v>4</v>
      </c>
      <c r="D4" s="1">
        <f t="shared" si="0"/>
        <v>26.4</v>
      </c>
    </row>
    <row r="5" spans="1:4" x14ac:dyDescent="0.25">
      <c r="A5" s="1" t="s">
        <v>9</v>
      </c>
      <c r="B5" s="1">
        <v>0.96</v>
      </c>
      <c r="C5" s="1">
        <v>2</v>
      </c>
      <c r="D5" s="1">
        <f t="shared" si="0"/>
        <v>1.92</v>
      </c>
    </row>
    <row r="7" spans="1:4" x14ac:dyDescent="0.25">
      <c r="C7" s="1" t="s">
        <v>20</v>
      </c>
      <c r="D7" s="1">
        <f>SUM(D2:D5)</f>
        <v>28.939999999999998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"/>
  <sheetViews>
    <sheetView workbookViewId="0">
      <selection activeCell="B4" sqref="B4"/>
    </sheetView>
  </sheetViews>
  <sheetFormatPr defaultRowHeight="13.8" x14ac:dyDescent="0.25"/>
  <cols>
    <col min="1" max="1" width="26.88671875" style="1" customWidth="1"/>
    <col min="2" max="2" width="8.88671875" style="1"/>
    <col min="3" max="3" width="10.88671875" style="1" customWidth="1"/>
    <col min="4" max="16384" width="8.88671875" style="1"/>
  </cols>
  <sheetData>
    <row r="1" spans="1:2" x14ac:dyDescent="0.25">
      <c r="A1" s="1" t="s">
        <v>43</v>
      </c>
      <c r="B1" s="1">
        <v>4284</v>
      </c>
    </row>
    <row r="2" spans="1:2" x14ac:dyDescent="0.25">
      <c r="A2" s="1" t="s">
        <v>41</v>
      </c>
      <c r="B2" s="1">
        <v>20</v>
      </c>
    </row>
    <row r="3" spans="1:2" x14ac:dyDescent="0.25">
      <c r="A3" s="1" t="s">
        <v>42</v>
      </c>
      <c r="B3" s="1">
        <f>B2*B1</f>
        <v>85680</v>
      </c>
    </row>
    <row r="4" spans="1:2" x14ac:dyDescent="0.25">
      <c r="A4" s="1" t="s">
        <v>44</v>
      </c>
      <c r="B4" s="10">
        <f>B3/150</f>
        <v>571.20000000000005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26E12D-2ECE-498E-8250-338C9F30A7D6}">
  <dimension ref="A1:K14"/>
  <sheetViews>
    <sheetView topLeftCell="A4" workbookViewId="0">
      <selection sqref="A1:G14"/>
    </sheetView>
  </sheetViews>
  <sheetFormatPr defaultRowHeight="14.4" x14ac:dyDescent="0.3"/>
  <cols>
    <col min="1" max="1" width="16.6640625" customWidth="1"/>
    <col min="2" max="2" width="21.77734375" customWidth="1"/>
    <col min="3" max="3" width="19" customWidth="1"/>
    <col min="4" max="4" width="18.33203125" customWidth="1"/>
    <col min="5" max="5" width="14.77734375" customWidth="1"/>
    <col min="6" max="6" width="23.6640625" customWidth="1"/>
    <col min="7" max="7" width="17.77734375" customWidth="1"/>
  </cols>
  <sheetData>
    <row r="1" spans="1:11" ht="109.2" x14ac:dyDescent="0.3">
      <c r="A1" s="12" t="s">
        <v>10</v>
      </c>
      <c r="B1" s="13" t="s">
        <v>64</v>
      </c>
      <c r="C1" s="13" t="s">
        <v>27</v>
      </c>
      <c r="D1" s="13" t="s">
        <v>66</v>
      </c>
      <c r="E1" s="13" t="s">
        <v>29</v>
      </c>
      <c r="F1" s="13" t="s">
        <v>30</v>
      </c>
      <c r="G1" s="13" t="s">
        <v>31</v>
      </c>
      <c r="K1" s="13" t="s">
        <v>67</v>
      </c>
    </row>
    <row r="2" spans="1:11" ht="15.6" x14ac:dyDescent="0.3">
      <c r="A2" s="14" t="s">
        <v>11</v>
      </c>
      <c r="B2" s="14">
        <v>800</v>
      </c>
      <c r="C2" s="15">
        <v>0.2</v>
      </c>
      <c r="D2" s="14">
        <f>B2*C2</f>
        <v>160</v>
      </c>
      <c r="E2" s="22">
        <f>D2/(K2/60)</f>
        <v>0.15392015392015387</v>
      </c>
      <c r="F2" s="16">
        <v>6.7</v>
      </c>
      <c r="G2" s="24">
        <f>E2*F2</f>
        <v>1.0312650312650309</v>
      </c>
      <c r="K2" s="14">
        <v>62370.000000000007</v>
      </c>
    </row>
    <row r="3" spans="1:11" ht="69" customHeight="1" x14ac:dyDescent="0.3">
      <c r="A3" s="17" t="s">
        <v>21</v>
      </c>
      <c r="B3" s="17">
        <v>70000</v>
      </c>
      <c r="C3" s="18">
        <v>0.1</v>
      </c>
      <c r="D3" s="14">
        <f t="shared" ref="D3:D13" si="0">B3*C3</f>
        <v>7000</v>
      </c>
      <c r="E3" s="22">
        <f t="shared" ref="E3:E13" si="1">D3/(K3/60)</f>
        <v>5.2910052910052912</v>
      </c>
      <c r="F3" s="24">
        <v>2.7166666666666668</v>
      </c>
      <c r="G3" s="24">
        <f>E3*F3</f>
        <v>14.373897707231041</v>
      </c>
      <c r="K3" s="14">
        <v>79380</v>
      </c>
    </row>
    <row r="4" spans="1:11" ht="86.4" customHeight="1" x14ac:dyDescent="0.3">
      <c r="A4" s="17" t="s">
        <v>22</v>
      </c>
      <c r="B4" s="17">
        <v>50000</v>
      </c>
      <c r="C4" s="18">
        <v>0.1</v>
      </c>
      <c r="D4" s="14">
        <f t="shared" si="0"/>
        <v>5000</v>
      </c>
      <c r="E4" s="22">
        <f t="shared" si="1"/>
        <v>4.0700040700040701</v>
      </c>
      <c r="F4" s="24">
        <v>2.2166666666666668</v>
      </c>
      <c r="G4" s="24">
        <f>E4*F4</f>
        <v>9.0218423551756892</v>
      </c>
      <c r="K4" s="14">
        <v>73710</v>
      </c>
    </row>
    <row r="5" spans="1:11" ht="31.2" x14ac:dyDescent="0.3">
      <c r="A5" s="14" t="s">
        <v>23</v>
      </c>
      <c r="B5" s="17">
        <v>9000</v>
      </c>
      <c r="C5" s="18">
        <v>0.1</v>
      </c>
      <c r="D5" s="14">
        <f t="shared" si="0"/>
        <v>900</v>
      </c>
      <c r="E5" s="22">
        <f t="shared" si="1"/>
        <v>0.68027210884353739</v>
      </c>
      <c r="F5" s="24">
        <v>1.5833333333333333</v>
      </c>
      <c r="G5" s="23">
        <f>E5*F5</f>
        <v>1.0770975056689343</v>
      </c>
      <c r="K5" s="14">
        <v>79380</v>
      </c>
    </row>
    <row r="6" spans="1:11" ht="15.6" x14ac:dyDescent="0.3">
      <c r="A6" s="14" t="s">
        <v>12</v>
      </c>
      <c r="B6" s="14">
        <v>100000</v>
      </c>
      <c r="C6" s="18">
        <v>0.1</v>
      </c>
      <c r="D6" s="14">
        <f t="shared" si="0"/>
        <v>10000</v>
      </c>
      <c r="E6" s="22">
        <f t="shared" si="1"/>
        <v>5.8788947677836569</v>
      </c>
      <c r="F6" s="24">
        <v>0.28333333333333333</v>
      </c>
      <c r="G6" s="24">
        <f>E6*F6</f>
        <v>1.6656868508720362</v>
      </c>
      <c r="K6" s="14">
        <v>102060</v>
      </c>
    </row>
    <row r="7" spans="1:11" ht="15.6" x14ac:dyDescent="0.3">
      <c r="A7" s="14" t="s">
        <v>13</v>
      </c>
      <c r="B7" s="14">
        <v>150</v>
      </c>
      <c r="C7" s="18">
        <v>0.1</v>
      </c>
      <c r="D7" s="14">
        <f t="shared" si="0"/>
        <v>15</v>
      </c>
      <c r="E7" s="22">
        <f t="shared" si="1"/>
        <v>1.3227513227513227E-2</v>
      </c>
      <c r="F7" s="24">
        <v>0.23333333333333334</v>
      </c>
      <c r="G7" s="21">
        <f>E7*F7</f>
        <v>3.0864197530864196E-3</v>
      </c>
      <c r="K7" s="14">
        <v>68040</v>
      </c>
    </row>
    <row r="8" spans="1:11" ht="15.6" x14ac:dyDescent="0.3">
      <c r="A8" s="14" t="s">
        <v>14</v>
      </c>
      <c r="B8" s="14">
        <v>30</v>
      </c>
      <c r="C8" s="18">
        <v>0.1</v>
      </c>
      <c r="D8" s="14">
        <f t="shared" si="0"/>
        <v>3</v>
      </c>
      <c r="E8" s="22">
        <f t="shared" si="1"/>
        <v>3.1746031746031746E-3</v>
      </c>
      <c r="F8" s="24">
        <v>0.26666666666666666</v>
      </c>
      <c r="G8" s="20">
        <f>E8*F8</f>
        <v>8.465608465608466E-4</v>
      </c>
      <c r="K8" s="14">
        <v>56700</v>
      </c>
    </row>
    <row r="9" spans="1:11" ht="15.6" x14ac:dyDescent="0.3">
      <c r="A9" s="14" t="s">
        <v>15</v>
      </c>
      <c r="B9" s="14">
        <v>40000</v>
      </c>
      <c r="C9" s="18">
        <v>0.1</v>
      </c>
      <c r="D9" s="14">
        <f t="shared" si="0"/>
        <v>4000</v>
      </c>
      <c r="E9" s="22">
        <f t="shared" si="1"/>
        <v>3.0234315948601664</v>
      </c>
      <c r="F9" s="24">
        <v>0.41666666666666669</v>
      </c>
      <c r="G9" s="23">
        <f>E9*F9</f>
        <v>1.2597631645250693</v>
      </c>
      <c r="K9" s="14">
        <v>79380</v>
      </c>
    </row>
    <row r="10" spans="1:11" ht="15.6" x14ac:dyDescent="0.3">
      <c r="A10" s="14" t="s">
        <v>16</v>
      </c>
      <c r="B10" s="14">
        <v>500</v>
      </c>
      <c r="C10" s="18">
        <v>0.1</v>
      </c>
      <c r="D10" s="14">
        <f t="shared" si="0"/>
        <v>50</v>
      </c>
      <c r="E10" s="22">
        <f t="shared" si="1"/>
        <v>5.2910052910052907E-2</v>
      </c>
      <c r="F10" s="24">
        <v>1.2833333333333334</v>
      </c>
      <c r="G10" s="22">
        <f>E10*F10</f>
        <v>6.7901234567901231E-2</v>
      </c>
      <c r="K10" s="14">
        <v>56700</v>
      </c>
    </row>
    <row r="11" spans="1:11" ht="86.4" customHeight="1" x14ac:dyDescent="0.3">
      <c r="A11" s="17" t="s">
        <v>24</v>
      </c>
      <c r="B11" s="14">
        <v>3500</v>
      </c>
      <c r="C11" s="18">
        <v>0.1</v>
      </c>
      <c r="D11" s="14">
        <f>B11*C11</f>
        <v>350</v>
      </c>
      <c r="E11" s="22">
        <f t="shared" si="1"/>
        <v>0.24691358024691357</v>
      </c>
      <c r="F11" s="24">
        <v>0.18333333333333332</v>
      </c>
      <c r="G11" s="21">
        <f>E11*F11</f>
        <v>4.5267489711934152E-2</v>
      </c>
      <c r="K11" s="14">
        <v>85050</v>
      </c>
    </row>
    <row r="12" spans="1:11" ht="15.6" x14ac:dyDescent="0.3">
      <c r="A12" s="14" t="s">
        <v>25</v>
      </c>
      <c r="B12" s="14">
        <v>360</v>
      </c>
      <c r="C12" s="18">
        <v>0.05</v>
      </c>
      <c r="D12" s="14">
        <f t="shared" si="0"/>
        <v>18</v>
      </c>
      <c r="E12" s="22">
        <f t="shared" si="1"/>
        <v>1.1204481792717087E-2</v>
      </c>
      <c r="F12" s="24">
        <v>0.34166666666666667</v>
      </c>
      <c r="G12" s="21">
        <f>E12*F12</f>
        <v>3.8281979458450049E-3</v>
      </c>
      <c r="K12" s="14">
        <v>96390</v>
      </c>
    </row>
    <row r="13" spans="1:11" ht="51.6" customHeight="1" x14ac:dyDescent="0.3">
      <c r="A13" s="17" t="s">
        <v>26</v>
      </c>
      <c r="B13" s="14">
        <v>200</v>
      </c>
      <c r="C13" s="18">
        <v>0.05</v>
      </c>
      <c r="D13" s="14">
        <f t="shared" si="0"/>
        <v>10</v>
      </c>
      <c r="E13" s="22">
        <f t="shared" si="1"/>
        <v>1.5117157974300832E-2</v>
      </c>
      <c r="F13" s="24">
        <v>0.41666666666666669</v>
      </c>
      <c r="G13" s="21">
        <f>E13*F13</f>
        <v>6.2988158226253465E-3</v>
      </c>
      <c r="K13" s="14">
        <v>39690</v>
      </c>
    </row>
    <row r="14" spans="1:11" ht="15.6" x14ac:dyDescent="0.3">
      <c r="A14" s="19" t="s">
        <v>20</v>
      </c>
      <c r="B14" s="16"/>
      <c r="C14" s="16"/>
      <c r="D14" s="16"/>
      <c r="E14" s="16"/>
      <c r="F14" s="16"/>
      <c r="G14" s="24">
        <f>SUM(G2:G13)</f>
        <v>28.556781333385754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847A12-564C-4D89-9C7C-6B7C6EE26E83}">
  <dimension ref="A1:E14"/>
  <sheetViews>
    <sheetView workbookViewId="0">
      <selection sqref="A1:E14"/>
    </sheetView>
  </sheetViews>
  <sheetFormatPr defaultRowHeight="14.4" x14ac:dyDescent="0.3"/>
  <cols>
    <col min="1" max="1" width="12.44140625" customWidth="1"/>
    <col min="2" max="2" width="11" customWidth="1"/>
    <col min="3" max="3" width="15.77734375" customWidth="1"/>
    <col min="4" max="4" width="16" customWidth="1"/>
    <col min="5" max="5" width="14.44140625" customWidth="1"/>
  </cols>
  <sheetData>
    <row r="1" spans="1:5" ht="46.8" x14ac:dyDescent="0.3">
      <c r="A1" s="12" t="s">
        <v>10</v>
      </c>
      <c r="B1" s="13" t="s">
        <v>28</v>
      </c>
      <c r="C1" s="13" t="s">
        <v>33</v>
      </c>
      <c r="D1" s="13" t="s">
        <v>30</v>
      </c>
      <c r="E1" s="13" t="s">
        <v>32</v>
      </c>
    </row>
    <row r="2" spans="1:5" ht="15.6" x14ac:dyDescent="0.3">
      <c r="A2" s="14" t="s">
        <v>11</v>
      </c>
      <c r="B2" s="26">
        <v>0.15</v>
      </c>
      <c r="C2" s="26">
        <v>0.04</v>
      </c>
      <c r="D2" s="24">
        <v>6.7</v>
      </c>
      <c r="E2" s="28">
        <f>B2*C2*D2</f>
        <v>4.02E-2</v>
      </c>
    </row>
    <row r="3" spans="1:5" ht="51.6" customHeight="1" x14ac:dyDescent="0.3">
      <c r="A3" s="17" t="s">
        <v>21</v>
      </c>
      <c r="B3" s="26">
        <v>8</v>
      </c>
      <c r="C3" s="26">
        <v>2.1</v>
      </c>
      <c r="D3" s="24">
        <v>2.7166666666666668</v>
      </c>
      <c r="E3" s="28">
        <f t="shared" ref="E3:E13" si="0">B3*C3*D3</f>
        <v>45.64</v>
      </c>
    </row>
    <row r="4" spans="1:5" ht="69" customHeight="1" x14ac:dyDescent="0.3">
      <c r="A4" s="17" t="s">
        <v>22</v>
      </c>
      <c r="B4" s="26">
        <v>2.7</v>
      </c>
      <c r="C4" s="26">
        <v>2</v>
      </c>
      <c r="D4" s="24">
        <v>2.2166666666666668</v>
      </c>
      <c r="E4" s="28">
        <f t="shared" si="0"/>
        <v>11.97</v>
      </c>
    </row>
    <row r="5" spans="1:5" ht="51.6" customHeight="1" x14ac:dyDescent="0.3">
      <c r="A5" s="17" t="s">
        <v>23</v>
      </c>
      <c r="B5" s="26">
        <v>1</v>
      </c>
      <c r="C5" s="26">
        <v>2</v>
      </c>
      <c r="D5" s="24">
        <v>1.5833333333333333</v>
      </c>
      <c r="E5" s="28">
        <f t="shared" si="0"/>
        <v>3.1666666666666665</v>
      </c>
    </row>
    <row r="6" spans="1:5" ht="31.2" x14ac:dyDescent="0.3">
      <c r="A6" s="14" t="s">
        <v>12</v>
      </c>
      <c r="B6" s="26">
        <v>10</v>
      </c>
      <c r="C6" s="26">
        <v>0.8</v>
      </c>
      <c r="D6" s="24">
        <v>0.28333333333333333</v>
      </c>
      <c r="E6" s="28">
        <f t="shared" si="0"/>
        <v>2.2666666666666666</v>
      </c>
    </row>
    <row r="7" spans="1:5" ht="15.6" x14ac:dyDescent="0.3">
      <c r="A7" s="14" t="s">
        <v>13</v>
      </c>
      <c r="B7" s="26">
        <v>0.05</v>
      </c>
      <c r="C7" s="26">
        <v>0.02</v>
      </c>
      <c r="D7" s="24">
        <v>0.23333333333333334</v>
      </c>
      <c r="E7" s="27">
        <f t="shared" si="0"/>
        <v>2.3333333333333333E-4</v>
      </c>
    </row>
    <row r="8" spans="1:5" ht="15.6" x14ac:dyDescent="0.3">
      <c r="A8" s="14" t="s">
        <v>14</v>
      </c>
      <c r="B8" s="26">
        <v>0</v>
      </c>
      <c r="C8" s="26">
        <v>0</v>
      </c>
      <c r="D8" s="24">
        <v>0.26666666666666666</v>
      </c>
      <c r="E8" s="29">
        <f t="shared" si="0"/>
        <v>0</v>
      </c>
    </row>
    <row r="9" spans="1:5" ht="15.6" x14ac:dyDescent="0.3">
      <c r="A9" s="14" t="s">
        <v>15</v>
      </c>
      <c r="B9" s="26">
        <v>4.5</v>
      </c>
      <c r="C9" s="26">
        <v>1.17</v>
      </c>
      <c r="D9" s="24">
        <v>0.41666666666666669</v>
      </c>
      <c r="E9" s="28">
        <f t="shared" si="0"/>
        <v>2.1937500000000001</v>
      </c>
    </row>
    <row r="10" spans="1:5" ht="39" customHeight="1" x14ac:dyDescent="0.3">
      <c r="A10" s="17" t="s">
        <v>16</v>
      </c>
      <c r="B10" s="26">
        <v>2.5</v>
      </c>
      <c r="C10" s="26">
        <v>0.65</v>
      </c>
      <c r="D10" s="24">
        <v>1.2833333333333334</v>
      </c>
      <c r="E10" s="28">
        <f t="shared" si="0"/>
        <v>2.0854166666666667</v>
      </c>
    </row>
    <row r="11" spans="1:5" ht="86.4" customHeight="1" x14ac:dyDescent="0.3">
      <c r="A11" s="17" t="s">
        <v>24</v>
      </c>
      <c r="B11" s="26">
        <v>0.2</v>
      </c>
      <c r="C11" s="26">
        <v>0.05</v>
      </c>
      <c r="D11" s="24">
        <v>0.18333333333333332</v>
      </c>
      <c r="E11" s="27">
        <f t="shared" si="0"/>
        <v>1.8333333333333335E-3</v>
      </c>
    </row>
    <row r="12" spans="1:5" ht="31.2" x14ac:dyDescent="0.3">
      <c r="A12" s="14" t="s">
        <v>25</v>
      </c>
      <c r="B12" s="26">
        <v>1.2</v>
      </c>
      <c r="C12" s="26">
        <v>0.31</v>
      </c>
      <c r="D12" s="24">
        <v>0.34166666666666667</v>
      </c>
      <c r="E12" s="28">
        <f t="shared" si="0"/>
        <v>0.12709999999999999</v>
      </c>
    </row>
    <row r="13" spans="1:5" ht="34.200000000000003" customHeight="1" x14ac:dyDescent="0.3">
      <c r="A13" s="17" t="s">
        <v>26</v>
      </c>
      <c r="B13" s="26">
        <v>7.0000000000000007E-2</v>
      </c>
      <c r="C13" s="26">
        <v>0.02</v>
      </c>
      <c r="D13" s="24">
        <v>0.41666666666666669</v>
      </c>
      <c r="E13" s="27">
        <f t="shared" si="0"/>
        <v>5.8333333333333349E-4</v>
      </c>
    </row>
    <row r="14" spans="1:5" ht="15.6" x14ac:dyDescent="0.3">
      <c r="A14" s="25" t="s">
        <v>20</v>
      </c>
      <c r="B14" s="16"/>
      <c r="C14" s="16"/>
      <c r="D14" s="16"/>
      <c r="E14" s="28">
        <f>SUM(E2:E13)</f>
        <v>67.492449999999991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4F39F8-0685-4A81-A75B-5A9DAA13164A}">
  <dimension ref="A1:C5"/>
  <sheetViews>
    <sheetView workbookViewId="0">
      <selection activeCell="B5" sqref="B5"/>
    </sheetView>
  </sheetViews>
  <sheetFormatPr defaultRowHeight="14.4" x14ac:dyDescent="0.3"/>
  <cols>
    <col min="1" max="1" width="27.21875" customWidth="1"/>
  </cols>
  <sheetData>
    <row r="1" spans="1:3" x14ac:dyDescent="0.3">
      <c r="A1" s="1" t="s">
        <v>36</v>
      </c>
      <c r="B1" s="1">
        <v>7</v>
      </c>
    </row>
    <row r="2" spans="1:3" x14ac:dyDescent="0.3">
      <c r="A2" s="1" t="s">
        <v>35</v>
      </c>
      <c r="B2" s="3">
        <v>0.15</v>
      </c>
      <c r="C2">
        <f>(B1*B3*12)*B2</f>
        <v>1260</v>
      </c>
    </row>
    <row r="3" spans="1:3" x14ac:dyDescent="0.3">
      <c r="A3" s="1" t="s">
        <v>34</v>
      </c>
      <c r="B3" s="1">
        <v>100</v>
      </c>
    </row>
    <row r="4" spans="1:3" x14ac:dyDescent="0.3">
      <c r="A4" s="1" t="s">
        <v>38</v>
      </c>
      <c r="B4" s="1">
        <f>B1*B3*12*(1+B2)</f>
        <v>9660</v>
      </c>
    </row>
    <row r="5" spans="1:3" x14ac:dyDescent="0.3">
      <c r="A5" s="1" t="s">
        <v>37</v>
      </c>
      <c r="B5" s="10">
        <f>B4/150</f>
        <v>64.400000000000006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20"/>
  <sheetViews>
    <sheetView tabSelected="1" zoomScale="130" zoomScaleNormal="130" workbookViewId="0">
      <selection activeCell="A17" sqref="A17"/>
    </sheetView>
  </sheetViews>
  <sheetFormatPr defaultRowHeight="13.8" x14ac:dyDescent="0.25"/>
  <cols>
    <col min="1" max="1" width="27.44140625" style="1" customWidth="1"/>
    <col min="2" max="3" width="9.5546875" style="1" bestFit="1" customWidth="1"/>
    <col min="4" max="16384" width="8.88671875" style="1"/>
  </cols>
  <sheetData>
    <row r="1" spans="1:3" s="4" customFormat="1" x14ac:dyDescent="0.25">
      <c r="A1" s="4" t="s">
        <v>17</v>
      </c>
      <c r="B1" s="4" t="s">
        <v>18</v>
      </c>
    </row>
    <row r="2" spans="1:3" x14ac:dyDescent="0.25">
      <c r="A2" s="1" t="s">
        <v>45</v>
      </c>
      <c r="B2" s="1">
        <f>Direct_Materials!B10</f>
        <v>3148</v>
      </c>
    </row>
    <row r="3" spans="1:3" x14ac:dyDescent="0.25">
      <c r="A3" s="1" t="s">
        <v>46</v>
      </c>
      <c r="B3" s="1">
        <f>Raw_Materials!D7</f>
        <v>28.939999999999998</v>
      </c>
    </row>
    <row r="4" spans="1:3" x14ac:dyDescent="0.25">
      <c r="A4" s="1" t="s">
        <v>48</v>
      </c>
      <c r="B4" s="3">
        <v>0.05</v>
      </c>
      <c r="C4" s="10">
        <f>B4*(B2+B3)</f>
        <v>158.84700000000001</v>
      </c>
    </row>
    <row r="5" spans="1:3" s="6" customFormat="1" ht="14.4" thickBot="1" x14ac:dyDescent="0.3">
      <c r="A5" s="5" t="s">
        <v>52</v>
      </c>
      <c r="B5" s="11">
        <f>(B2+B3)*(1+B4)</f>
        <v>3335.7870000000003</v>
      </c>
    </row>
    <row r="6" spans="1:3" s="2" customFormat="1" x14ac:dyDescent="0.25">
      <c r="A6" s="2" t="s">
        <v>47</v>
      </c>
      <c r="B6" s="30">
        <f>Labor!B4</f>
        <v>571.20000000000005</v>
      </c>
    </row>
    <row r="7" spans="1:3" x14ac:dyDescent="0.25">
      <c r="A7" s="1" t="s">
        <v>49</v>
      </c>
      <c r="B7" s="10">
        <f>Machine_Dep!G14</f>
        <v>28.556781333385754</v>
      </c>
    </row>
    <row r="8" spans="1:3" x14ac:dyDescent="0.25">
      <c r="A8" s="1" t="s">
        <v>51</v>
      </c>
      <c r="B8" s="10">
        <f>Utility!E14</f>
        <v>67.492449999999991</v>
      </c>
    </row>
    <row r="9" spans="1:3" x14ac:dyDescent="0.25">
      <c r="A9" s="1" t="s">
        <v>50</v>
      </c>
      <c r="B9" s="10">
        <f>Rent!B5</f>
        <v>64.400000000000006</v>
      </c>
    </row>
    <row r="10" spans="1:3" s="6" customFormat="1" ht="14.4" thickBot="1" x14ac:dyDescent="0.3">
      <c r="A10" s="5" t="s">
        <v>59</v>
      </c>
      <c r="B10" s="11">
        <f>B6+B7+B8+B9</f>
        <v>731.64923133338573</v>
      </c>
    </row>
    <row r="11" spans="1:3" s="8" customFormat="1" ht="14.4" thickBot="1" x14ac:dyDescent="0.3">
      <c r="A11" s="7" t="s">
        <v>53</v>
      </c>
      <c r="B11" s="31">
        <f>B5+B10</f>
        <v>4067.4362313333859</v>
      </c>
    </row>
    <row r="12" spans="1:3" s="2" customFormat="1" x14ac:dyDescent="0.25">
      <c r="A12" s="9"/>
    </row>
    <row r="13" spans="1:3" x14ac:dyDescent="0.25">
      <c r="A13" s="1" t="s">
        <v>19</v>
      </c>
      <c r="B13" s="3">
        <v>0.08</v>
      </c>
      <c r="C13" s="10">
        <f>$B$11*B13</f>
        <v>325.39489850667087</v>
      </c>
    </row>
    <row r="14" spans="1:3" x14ac:dyDescent="0.25">
      <c r="A14" s="1" t="s">
        <v>54</v>
      </c>
      <c r="B14" s="3">
        <v>0.15</v>
      </c>
      <c r="C14" s="10">
        <f>$B$11*B14</f>
        <v>610.11543470000788</v>
      </c>
    </row>
    <row r="15" spans="1:3" s="6" customFormat="1" ht="14.4" thickBot="1" x14ac:dyDescent="0.3">
      <c r="A15" s="5" t="s">
        <v>55</v>
      </c>
      <c r="B15" s="11">
        <f>B11*(1+B13+B14)</f>
        <v>5002.9465645400642</v>
      </c>
    </row>
    <row r="16" spans="1:3" s="2" customFormat="1" x14ac:dyDescent="0.25">
      <c r="A16" s="9"/>
    </row>
    <row r="17" spans="1:3" x14ac:dyDescent="0.25">
      <c r="A17" s="1" t="s">
        <v>56</v>
      </c>
      <c r="B17" s="3">
        <v>0.3</v>
      </c>
      <c r="C17" s="10">
        <f>B17*B15</f>
        <v>1500.8839693620191</v>
      </c>
    </row>
    <row r="18" spans="1:3" s="6" customFormat="1" ht="14.4" thickBot="1" x14ac:dyDescent="0.3">
      <c r="A18" s="5" t="s">
        <v>68</v>
      </c>
      <c r="B18" s="11">
        <f>B15*(1+B17)</f>
        <v>6503.8305339020835</v>
      </c>
    </row>
    <row r="19" spans="1:3" x14ac:dyDescent="0.25">
      <c r="A19" s="1" t="s">
        <v>57</v>
      </c>
      <c r="B19" s="3">
        <v>0.1</v>
      </c>
      <c r="C19" s="10">
        <f>B18*B19</f>
        <v>650.38305339020837</v>
      </c>
    </row>
    <row r="20" spans="1:3" s="6" customFormat="1" ht="14.4" thickBot="1" x14ac:dyDescent="0.3">
      <c r="A20" s="5" t="s">
        <v>58</v>
      </c>
      <c r="B20" s="11">
        <f>B18*(1+B19)</f>
        <v>7154.2135872922927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Direct_Materials</vt:lpstr>
      <vt:lpstr>Raw_Materials</vt:lpstr>
      <vt:lpstr>Labor</vt:lpstr>
      <vt:lpstr>Machine_Dep</vt:lpstr>
      <vt:lpstr>Utility</vt:lpstr>
      <vt:lpstr>Rent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justin chin cheong</cp:lastModifiedBy>
  <dcterms:created xsi:type="dcterms:W3CDTF">2026-01-11T09:44:53Z</dcterms:created>
  <dcterms:modified xsi:type="dcterms:W3CDTF">2026-01-11T14:31:23Z</dcterms:modified>
</cp:coreProperties>
</file>