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HSRW\Semester 5\Group Project\Group-Project_WS2526\3.4 Production Planning\"/>
    </mc:Choice>
  </mc:AlternateContent>
  <xr:revisionPtr revIDLastSave="0" documentId="13_ncr:1_{C0B413F4-6068-478D-83EB-0AA22CA95555}" xr6:coauthVersionLast="47" xr6:coauthVersionMax="47" xr10:uidLastSave="{00000000-0000-0000-0000-000000000000}"/>
  <bookViews>
    <workbookView xWindow="-108" yWindow="-108" windowWidth="23256" windowHeight="12576" firstSheet="2" activeTab="6" xr2:uid="{DE72B6C7-421C-4069-887E-620521B1C591}"/>
  </bookViews>
  <sheets>
    <sheet name="takt-time" sheetId="2" r:id="rId1"/>
    <sheet name="machine-efficiency" sheetId="3" r:id="rId2"/>
    <sheet name="production-time" sheetId="4" r:id="rId3"/>
    <sheet name="machine-allocation" sheetId="6" r:id="rId4"/>
    <sheet name="workforce" sheetId="8" r:id="rId5"/>
    <sheet name="production-time-calc" sheetId="5" r:id="rId6"/>
    <sheet name="assembly-stations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8" l="1"/>
  <c r="C23" i="8"/>
  <c r="C24" i="8"/>
  <c r="C25" i="8"/>
  <c r="C26" i="8"/>
  <c r="D26" i="8" s="1"/>
  <c r="C21" i="8"/>
  <c r="B22" i="8"/>
  <c r="B23" i="8"/>
  <c r="B24" i="8"/>
  <c r="B25" i="8"/>
  <c r="B26" i="8"/>
  <c r="B21" i="8"/>
  <c r="F26" i="8"/>
  <c r="F25" i="8"/>
  <c r="F24" i="8"/>
  <c r="F23" i="8"/>
  <c r="F22" i="8"/>
  <c r="F21" i="8"/>
  <c r="D24" i="8"/>
  <c r="D25" i="8"/>
  <c r="C5" i="8"/>
  <c r="C6" i="8"/>
  <c r="C7" i="8"/>
  <c r="C8" i="8"/>
  <c r="C9" i="8"/>
  <c r="C10" i="8"/>
  <c r="C11" i="8"/>
  <c r="C12" i="8"/>
  <c r="C13" i="8"/>
  <c r="C4" i="8"/>
  <c r="E10" i="8"/>
  <c r="E12" i="8"/>
  <c r="D5" i="8"/>
  <c r="E5" i="8" s="1"/>
  <c r="D6" i="8"/>
  <c r="E6" i="8" s="1"/>
  <c r="D7" i="8"/>
  <c r="E7" i="8" s="1"/>
  <c r="D8" i="8"/>
  <c r="E8" i="8" s="1"/>
  <c r="D9" i="8"/>
  <c r="E9" i="8" s="1"/>
  <c r="D10" i="8"/>
  <c r="D11" i="8"/>
  <c r="E11" i="8" s="1"/>
  <c r="D12" i="8"/>
  <c r="D13" i="8"/>
  <c r="E13" i="8" s="1"/>
  <c r="D4" i="8"/>
  <c r="E4" i="8" s="1"/>
  <c r="E61" i="5"/>
  <c r="E50" i="5"/>
  <c r="E51" i="5"/>
  <c r="E52" i="5"/>
  <c r="E53" i="5"/>
  <c r="E54" i="5"/>
  <c r="E55" i="5"/>
  <c r="E56" i="5"/>
  <c r="E57" i="5"/>
  <c r="E58" i="5"/>
  <c r="E59" i="5"/>
  <c r="E60" i="5"/>
  <c r="E49" i="5"/>
  <c r="F50" i="5"/>
  <c r="F51" i="5"/>
  <c r="F52" i="5"/>
  <c r="F53" i="5"/>
  <c r="F54" i="5"/>
  <c r="F55" i="5"/>
  <c r="F56" i="5"/>
  <c r="F57" i="5"/>
  <c r="F58" i="5"/>
  <c r="F59" i="5"/>
  <c r="F60" i="5"/>
  <c r="F49" i="5"/>
  <c r="F23" i="9"/>
  <c r="J6" i="9" s="1"/>
  <c r="C59" i="5"/>
  <c r="D59" i="5" s="1"/>
  <c r="B12" i="6" s="1"/>
  <c r="E12" i="6" s="1"/>
  <c r="D12" i="6" s="1"/>
  <c r="C58" i="5"/>
  <c r="D58" i="5" s="1"/>
  <c r="B11" i="6" s="1"/>
  <c r="E11" i="6" s="1"/>
  <c r="D11" i="6" s="1"/>
  <c r="E78" i="5"/>
  <c r="E66" i="5"/>
  <c r="E76" i="5"/>
  <c r="C57" i="5" s="1"/>
  <c r="D57" i="5" s="1"/>
  <c r="B10" i="6" s="1"/>
  <c r="C56" i="5"/>
  <c r="D56" i="5" s="1"/>
  <c r="B9" i="6" s="1"/>
  <c r="C55" i="5"/>
  <c r="D55" i="5" s="1"/>
  <c r="B8" i="6" s="1"/>
  <c r="C54" i="5"/>
  <c r="D54" i="5" s="1"/>
  <c r="B7" i="6" s="1"/>
  <c r="C53" i="5"/>
  <c r="D53" i="5" s="1"/>
  <c r="B6" i="6" s="1"/>
  <c r="G44" i="5"/>
  <c r="C60" i="5" s="1"/>
  <c r="G39" i="5"/>
  <c r="G40" i="5"/>
  <c r="G38" i="5"/>
  <c r="G24" i="5"/>
  <c r="G23" i="5"/>
  <c r="C49" i="5"/>
  <c r="D49" i="5" s="1"/>
  <c r="B2" i="6" s="1"/>
  <c r="F41" i="5"/>
  <c r="E13" i="4" s="1"/>
  <c r="E41" i="5"/>
  <c r="D13" i="4" s="1"/>
  <c r="F25" i="5"/>
  <c r="E8" i="4" s="1"/>
  <c r="E25" i="5"/>
  <c r="D8" i="4" s="1"/>
  <c r="F33" i="5"/>
  <c r="E9" i="4" s="1"/>
  <c r="E33" i="5"/>
  <c r="D9" i="4" s="1"/>
  <c r="E14" i="4"/>
  <c r="D14" i="4"/>
  <c r="E12" i="4"/>
  <c r="D12" i="4"/>
  <c r="E11" i="4"/>
  <c r="D11" i="4"/>
  <c r="E10" i="4"/>
  <c r="D10" i="4"/>
  <c r="E7" i="4"/>
  <c r="D7" i="4"/>
  <c r="E6" i="4"/>
  <c r="D6" i="4"/>
  <c r="F15" i="5"/>
  <c r="E5" i="4" s="1"/>
  <c r="E15" i="5"/>
  <c r="D5" i="4" s="1"/>
  <c r="E13" i="5"/>
  <c r="D4" i="4" s="1"/>
  <c r="F13" i="5"/>
  <c r="E4" i="4" s="1"/>
  <c r="F11" i="5"/>
  <c r="E3" i="4" s="1"/>
  <c r="E11" i="5"/>
  <c r="D3" i="4" s="1"/>
  <c r="F4" i="5"/>
  <c r="E2" i="4" s="1"/>
  <c r="E4" i="5"/>
  <c r="D2" i="4" s="1"/>
  <c r="C3" i="6"/>
  <c r="C4" i="6"/>
  <c r="C5" i="6"/>
  <c r="C6" i="6"/>
  <c r="C7" i="6"/>
  <c r="C8" i="6"/>
  <c r="C9" i="6"/>
  <c r="C10" i="6"/>
  <c r="C11" i="6"/>
  <c r="C12" i="6"/>
  <c r="C13" i="6"/>
  <c r="C2" i="6"/>
  <c r="E4" i="3"/>
  <c r="E5" i="3"/>
  <c r="E10" i="3"/>
  <c r="E11" i="3"/>
  <c r="E12" i="3"/>
  <c r="E13" i="3"/>
  <c r="E2" i="3"/>
  <c r="D3" i="3"/>
  <c r="E3" i="3" s="1"/>
  <c r="D4" i="3"/>
  <c r="D5" i="3"/>
  <c r="D6" i="3"/>
  <c r="E6" i="3" s="1"/>
  <c r="D7" i="3"/>
  <c r="E7" i="3" s="1"/>
  <c r="D8" i="3"/>
  <c r="E8" i="3" s="1"/>
  <c r="D9" i="3"/>
  <c r="E9" i="3" s="1"/>
  <c r="D10" i="3"/>
  <c r="D11" i="3"/>
  <c r="D12" i="3"/>
  <c r="D13" i="3"/>
  <c r="D2" i="3"/>
  <c r="C5" i="2"/>
  <c r="C6" i="2" s="1"/>
  <c r="C7" i="2" s="1"/>
  <c r="C9" i="2" s="1"/>
  <c r="D5" i="2"/>
  <c r="D6" i="2" s="1"/>
  <c r="D7" i="2" s="1"/>
  <c r="D9" i="2" s="1"/>
  <c r="B5" i="2"/>
  <c r="B6" i="2" s="1"/>
  <c r="B7" i="2" s="1"/>
  <c r="B9" i="2" s="1"/>
  <c r="D23" i="8" l="1"/>
  <c r="D22" i="8"/>
  <c r="C27" i="8"/>
  <c r="D21" i="8"/>
  <c r="D14" i="8"/>
  <c r="J4" i="9"/>
  <c r="J5" i="9"/>
  <c r="D60" i="5"/>
  <c r="B13" i="6" s="1"/>
  <c r="E13" i="6" s="1"/>
  <c r="D13" i="6" s="1"/>
  <c r="B13" i="8" s="1"/>
  <c r="C51" i="5"/>
  <c r="D51" i="5" s="1"/>
  <c r="G13" i="5"/>
  <c r="C52" i="5"/>
  <c r="D52" i="5" s="1"/>
  <c r="G11" i="5"/>
  <c r="G15" i="5"/>
  <c r="C50" i="5" s="1"/>
  <c r="D50" i="5" s="1"/>
  <c r="G41" i="5"/>
  <c r="G25" i="5"/>
  <c r="G4" i="5"/>
  <c r="G33" i="5"/>
  <c r="F6" i="4"/>
  <c r="H6" i="4" s="1"/>
  <c r="F14" i="4"/>
  <c r="H14" i="4" s="1"/>
  <c r="F2" i="4"/>
  <c r="F10" i="4"/>
  <c r="H10" i="4" s="1"/>
  <c r="F11" i="4"/>
  <c r="H11" i="4" s="1"/>
  <c r="F9" i="4"/>
  <c r="H9" i="4" s="1"/>
  <c r="F13" i="4"/>
  <c r="H13" i="4" s="1"/>
  <c r="F12" i="4"/>
  <c r="H12" i="4" s="1"/>
  <c r="F8" i="4"/>
  <c r="H8" i="4" s="1"/>
  <c r="F7" i="4"/>
  <c r="H7" i="4" s="1"/>
  <c r="E6" i="6"/>
  <c r="D6" i="6" s="1"/>
  <c r="B8" i="8" s="1"/>
  <c r="E8" i="6"/>
  <c r="D8" i="6" s="1"/>
  <c r="B10" i="8" s="1"/>
  <c r="F5" i="4"/>
  <c r="H5" i="4" s="1"/>
  <c r="E10" i="6"/>
  <c r="D10" i="6" s="1"/>
  <c r="B12" i="8" s="1"/>
  <c r="E9" i="6"/>
  <c r="D9" i="6" s="1"/>
  <c r="B11" i="8" s="1"/>
  <c r="E7" i="6"/>
  <c r="D7" i="6" s="1"/>
  <c r="B9" i="8" s="1"/>
  <c r="F4" i="4"/>
  <c r="H4" i="4" s="1"/>
  <c r="F3" i="4"/>
  <c r="H3" i="4" s="1"/>
  <c r="D8" i="2"/>
  <c r="C8" i="2"/>
  <c r="B8" i="2"/>
  <c r="B30" i="8" l="1"/>
  <c r="C30" i="8" s="1"/>
  <c r="D27" i="8"/>
  <c r="B3" i="6"/>
  <c r="B5" i="6"/>
  <c r="E5" i="6" s="1"/>
  <c r="D5" i="6" s="1"/>
  <c r="B7" i="8" s="1"/>
  <c r="B4" i="6"/>
  <c r="E4" i="6" s="1"/>
  <c r="D4" i="6" s="1"/>
  <c r="B6" i="8" s="1"/>
  <c r="H2" i="4"/>
  <c r="F15" i="4"/>
  <c r="E3" i="6"/>
  <c r="D3" i="6" s="1"/>
  <c r="B5" i="8" s="1"/>
  <c r="E2" i="6"/>
  <c r="D2" i="6" s="1"/>
  <c r="B4" i="8" s="1"/>
  <c r="E14" i="8" l="1"/>
  <c r="B31" i="8" s="1"/>
  <c r="C31" i="8" s="1"/>
</calcChain>
</file>

<file path=xl/sharedStrings.xml><?xml version="1.0" encoding="utf-8"?>
<sst xmlns="http://schemas.openxmlformats.org/spreadsheetml/2006/main" count="299" uniqueCount="196">
  <si>
    <t>Year 1</t>
  </si>
  <si>
    <t>Year 2</t>
  </si>
  <si>
    <t>Year 3</t>
  </si>
  <si>
    <t>Working Days per Year ($D_{year}$)</t>
  </si>
  <si>
    <t>Parameter</t>
  </si>
  <si>
    <t>Shifts per Day ($N_{shifts}$)</t>
  </si>
  <si>
    <t>Target Annual Production ($U_{year}^{total}$)</t>
  </si>
  <si>
    <t>Available Time per Year ($t_{w}$) [s]</t>
  </si>
  <si>
    <t>Time per Shift ($t_{shift}$) [s]</t>
  </si>
  <si>
    <t>Takt Time ($T$) [s]</t>
  </si>
  <si>
    <t>Takt Time ($T$) [min]</t>
  </si>
  <si>
    <t>Takt Time ($T$) [hr]</t>
  </si>
  <si>
    <t>Machine</t>
  </si>
  <si>
    <t>OEE</t>
  </si>
  <si>
    <t>Ideal Machine Availability [minutes/day]</t>
  </si>
  <si>
    <t>Real Machine availability [minutes/day]</t>
  </si>
  <si>
    <t>Real Machine availability [minutes/year]</t>
  </si>
  <si>
    <t>3D Printer</t>
  </si>
  <si>
    <t xml:space="preserve">4-Axis CNC Milling Machine </t>
  </si>
  <si>
    <t>3-Axis CNC Contour Machine</t>
  </si>
  <si>
    <t>3-Axis CNC Milling Machine</t>
  </si>
  <si>
    <t>Extrusion Press</t>
  </si>
  <si>
    <t>Drill</t>
  </si>
  <si>
    <t>Reamer</t>
  </si>
  <si>
    <t>Laser Cutter</t>
  </si>
  <si>
    <t>Welding Plant</t>
  </si>
  <si>
    <t xml:space="preserve">Automated Pick-and-Place Machine </t>
  </si>
  <si>
    <t>Reflow Oven</t>
  </si>
  <si>
    <t>Hand Soldering Station</t>
  </si>
  <si>
    <t>Position Number</t>
  </si>
  <si>
    <t>Part</t>
  </si>
  <si>
    <t>PCB Mount</t>
  </si>
  <si>
    <t>Battery Cradle</t>
  </si>
  <si>
    <t>Panel Frame</t>
  </si>
  <si>
    <t>Load Cell Compartment</t>
  </si>
  <si>
    <t>Aluminium Box Foam</t>
  </si>
  <si>
    <t>Electronics Basin</t>
  </si>
  <si>
    <t>Aluminium Frame</t>
  </si>
  <si>
    <t>Panel</t>
  </si>
  <si>
    <t>Cable Tray</t>
  </si>
  <si>
    <t>Top Foam</t>
  </si>
  <si>
    <t>Lower Pelican Case</t>
  </si>
  <si>
    <t>Printed Circuit Board</t>
  </si>
  <si>
    <t>M12 Load Cell Cable</t>
  </si>
  <si>
    <t>Process(s)</t>
  </si>
  <si>
    <t>Production Volume [units/year]</t>
  </si>
  <si>
    <t>Production Time Per Unit [min/unit]</t>
  </si>
  <si>
    <t>Total Production Time [min/year]</t>
  </si>
  <si>
    <t>Etching</t>
  </si>
  <si>
    <t>Etching, Screen printing</t>
  </si>
  <si>
    <t>3D Printing</t>
  </si>
  <si>
    <t>4-axis CNC Milling</t>
  </si>
  <si>
    <t>3-axis CNC Contour</t>
  </si>
  <si>
    <t>Backward Extrusion and 4-axis CNC Milling</t>
  </si>
  <si>
    <t>3-axis CNC Milling</t>
  </si>
  <si>
    <t>Soldering</t>
  </si>
  <si>
    <t>Process Steps</t>
  </si>
  <si>
    <t>Process Step Time [min]</t>
  </si>
  <si>
    <t>Cutting</t>
  </si>
  <si>
    <t>Treatment</t>
  </si>
  <si>
    <t>Drilling</t>
  </si>
  <si>
    <t>Surface Finish</t>
  </si>
  <si>
    <t>Screen Printing</t>
  </si>
  <si>
    <t>Support removal</t>
  </si>
  <si>
    <t>Center cut out</t>
  </si>
  <si>
    <t>Feature milling</t>
  </si>
  <si>
    <t>Remove center piece</t>
  </si>
  <si>
    <t>Rotate workpiece</t>
  </si>
  <si>
    <t>Milling holes</t>
  </si>
  <si>
    <t>Processing Time [min/unit]</t>
  </si>
  <si>
    <t>Setup Time [min/unit]</t>
  </si>
  <si>
    <t>Manual Drilling and Reaming</t>
  </si>
  <si>
    <t>Fiber Glass Laser cutting and Manual Welding</t>
  </si>
  <si>
    <t>No. of Machines</t>
  </si>
  <si>
    <t>Required Production Time [min/year]</t>
  </si>
  <si>
    <t>Machine Availability [min/year]</t>
  </si>
  <si>
    <t>No. of Machines (estimate)</t>
  </si>
  <si>
    <t>Notes</t>
  </si>
  <si>
    <t>Processing Time Per Unit [min/unit]</t>
  </si>
  <si>
    <t>Setup Time Per Unit [min/unit]</t>
  </si>
  <si>
    <t>Transfering between stations</t>
  </si>
  <si>
    <t>0.2mm layer, quality, 30% infill w/ supportts</t>
  </si>
  <si>
    <t>0.2mm layer, quality, 70% infill w/ supportts</t>
  </si>
  <si>
    <t>Secure workpiece</t>
  </si>
  <si>
    <t>Loading laser cutter</t>
  </si>
  <si>
    <t>Laser cutting</t>
  </si>
  <si>
    <t>Collect workpieces</t>
  </si>
  <si>
    <t>Setup and secure workpieces</t>
  </si>
  <si>
    <t>Weld work pieces</t>
  </si>
  <si>
    <t>Extrusion Process</t>
  </si>
  <si>
    <t>Remove workpiece</t>
  </si>
  <si>
    <t>Rotating (x4)</t>
  </si>
  <si>
    <t>Milling groves (x4)</t>
  </si>
  <si>
    <t>Milling hole</t>
  </si>
  <si>
    <t>Finishing (x4) w/ grinder</t>
  </si>
  <si>
    <t>Transfer piece to CNC Mill</t>
  </si>
  <si>
    <t>Reaming</t>
  </si>
  <si>
    <t>Required prodution Time per year [min/year]</t>
  </si>
  <si>
    <t>Total Time [min/unit]</t>
  </si>
  <si>
    <t>PRODUCTION</t>
  </si>
  <si>
    <t>ASSEMBLY</t>
  </si>
  <si>
    <t>A1</t>
  </si>
  <si>
    <t>A4</t>
  </si>
  <si>
    <t>Top Panel and Tray</t>
  </si>
  <si>
    <t>A11</t>
  </si>
  <si>
    <t>Basin + Panel</t>
  </si>
  <si>
    <t xml:space="preserve">Secure PCB in stencil </t>
  </si>
  <si>
    <t>Apply solder paste</t>
  </si>
  <si>
    <t>Remove from stencil</t>
  </si>
  <si>
    <t xml:space="preserve">Secure PCB into pnp </t>
  </si>
  <si>
    <t>PnP places all components</t>
  </si>
  <si>
    <t>Remove from pnp</t>
  </si>
  <si>
    <t>Secure in Oven</t>
  </si>
  <si>
    <t>Reflow in Oven</t>
  </si>
  <si>
    <t>Remove from Oven (+cooling)</t>
  </si>
  <si>
    <t>Weld</t>
  </si>
  <si>
    <t>Hand solder THT components</t>
  </si>
  <si>
    <t>MACHINES</t>
  </si>
  <si>
    <t>Required Shifts [shifts/day]</t>
  </si>
  <si>
    <t>Required prodution Time per unit [min/unit]</t>
  </si>
  <si>
    <t>Assembly Station</t>
  </si>
  <si>
    <t>Sub assembly station</t>
  </si>
  <si>
    <t>Parts assembly</t>
  </si>
  <si>
    <t>Assembly Process</t>
  </si>
  <si>
    <t>Total Time (mins)</t>
  </si>
  <si>
    <t>Line 1 – Basin Assembly</t>
  </si>
  <si>
    <t>Line 1.1 – PCB Assembly (A1)</t>
  </si>
  <si>
    <t xml:space="preserve">Part 1 and all electrical components (Table 27, except USB C and M12 port) </t>
  </si>
  <si>
    <t>Place solder paste using stencil</t>
  </si>
  <si>
    <t>Place all components (Automated pick and place machine)</t>
  </si>
  <si>
    <t>Solder (Reflow oven)</t>
  </si>
  <si>
    <t>Line 1.2 – PCB mount assembly (A3)</t>
  </si>
  <si>
    <t>1, 2, 16 and 22</t>
  </si>
  <si>
    <t xml:space="preserve">Screw PCB into Mount </t>
  </si>
  <si>
    <t>-</t>
  </si>
  <si>
    <t>Line 1.3 – Battery Cradle Assembly (A2)</t>
  </si>
  <si>
    <t>3 and 25</t>
  </si>
  <si>
    <t>Strap Velcro onto cradle</t>
  </si>
  <si>
    <t>Line 1.4 –</t>
  </si>
  <si>
    <t>Battery cradle into basin (A6)</t>
  </si>
  <si>
    <t>2, 7, 17 and 21</t>
  </si>
  <si>
    <t>Screw the battery cradle in</t>
  </si>
  <si>
    <t>Line 1.5 – M12 port into basin (A8)</t>
  </si>
  <si>
    <r>
      <t>7, 13 and M12 gasket</t>
    </r>
    <r>
      <rPr>
        <sz val="8"/>
        <color rgb="FF000000"/>
        <rFont val="Times New Roman"/>
        <family val="1"/>
      </rPr>
      <t> </t>
    </r>
  </si>
  <si>
    <t>Insert M12 port into the basin</t>
  </si>
  <si>
    <t>Line 1.6 – PCB Mount into basin (A7)</t>
  </si>
  <si>
    <r>
      <t>2, 7 and 27</t>
    </r>
    <r>
      <rPr>
        <sz val="8"/>
        <color theme="1"/>
        <rFont val="Times New Roman"/>
        <family val="1"/>
      </rPr>
      <t> </t>
    </r>
  </si>
  <si>
    <t>Tape the PCB mount onto the wall</t>
  </si>
  <si>
    <t>Line 1.7 – Frame and gasket onto basin (A9 &amp; A10)</t>
  </si>
  <si>
    <r>
      <t>7, 8, Battery, 17</t>
    </r>
    <r>
      <rPr>
        <sz val="8"/>
        <color rgb="FF000000"/>
        <rFont val="Times New Roman"/>
        <family val="1"/>
      </rPr>
      <t>  </t>
    </r>
    <r>
      <rPr>
        <sz val="12"/>
        <color rgb="FF000000"/>
        <rFont val="Times New Roman"/>
        <family val="1"/>
      </rPr>
      <t>, 21, 24 and 26</t>
    </r>
  </si>
  <si>
    <t>Place in the battery, then place gasket and screw frame on to the basin</t>
  </si>
  <si>
    <t>Line 2 – Top Panel Assembly</t>
  </si>
  <si>
    <t>Line 2.1 – Top Panel welding (A4)</t>
  </si>
  <si>
    <t>9 and 10</t>
  </si>
  <si>
    <t>Weld cable tray onto top panel</t>
  </si>
  <si>
    <t>Line 2.2 – Buttons and ports insertion</t>
  </si>
  <si>
    <t>SW1, SW2, J2, D2, 9, 18 and 24</t>
  </si>
  <si>
    <t>Screw the buttons, LEDs and USB A port into the top panel</t>
  </si>
  <si>
    <t>Line 3 – Electronics interior assembly</t>
  </si>
  <si>
    <t>Line 3.1 – Top panel and basin assembly (A11)</t>
  </si>
  <si>
    <t>7 and 9</t>
  </si>
  <si>
    <t>Weld top panel and basin together</t>
  </si>
  <si>
    <t>Line 3.2 – Screen insertion (A12)</t>
  </si>
  <si>
    <r>
      <t>7, EDPM Foam tape</t>
    </r>
    <r>
      <rPr>
        <sz val="8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 xml:space="preserve"> and U12</t>
    </r>
  </si>
  <si>
    <t>Insert screen and tape for sealing</t>
  </si>
  <si>
    <t>Line 4 – Panel frame assembly</t>
  </si>
  <si>
    <t>(A14)</t>
  </si>
  <si>
    <r>
      <t>4 and 20</t>
    </r>
    <r>
      <rPr>
        <sz val="8"/>
        <color theme="1"/>
        <rFont val="Times New Roman"/>
        <family val="1"/>
      </rPr>
      <t>  </t>
    </r>
  </si>
  <si>
    <t>Insert rivets into panel frame</t>
  </si>
  <si>
    <t>Line 5 – Pelican case assembly</t>
  </si>
  <si>
    <t>Line 5.1 – USB C port insertion (A13)</t>
  </si>
  <si>
    <r>
      <t>J3 and 12</t>
    </r>
    <r>
      <rPr>
        <sz val="8"/>
        <color rgb="FF000000"/>
        <rFont val="Times New Roman"/>
        <family val="1"/>
      </rPr>
      <t> </t>
    </r>
  </si>
  <si>
    <t xml:space="preserve">Insert USB – C port </t>
  </si>
  <si>
    <t>Line 5.2 – screw in panel frame (A15 &amp; A16)</t>
  </si>
  <si>
    <r>
      <t>4, 5, 6, 11, 12 and 19 and glue</t>
    </r>
    <r>
      <rPr>
        <sz val="8"/>
        <color theme="1"/>
        <rFont val="Times New Roman"/>
        <family val="1"/>
      </rPr>
      <t> </t>
    </r>
  </si>
  <si>
    <t>Insert foam into case, then screw in panel frame</t>
  </si>
  <si>
    <t>Line 5.3 – electronics insertion (A17)</t>
  </si>
  <si>
    <r>
      <t>7, 12 and O-ring</t>
    </r>
    <r>
      <rPr>
        <sz val="8"/>
        <color rgb="FF000000"/>
        <rFont val="Times New Roman"/>
        <family val="1"/>
      </rPr>
      <t> </t>
    </r>
  </si>
  <si>
    <t>Screw in electronics with O-ring</t>
  </si>
  <si>
    <t>Line 6 – Final assembly</t>
  </si>
  <si>
    <t>A18</t>
  </si>
  <si>
    <t>12 and load cells and cables</t>
  </si>
  <si>
    <t>Keep the load cells and cables in and close the box</t>
  </si>
  <si>
    <t>WORKFORCE</t>
  </si>
  <si>
    <t>Assembly Lines</t>
  </si>
  <si>
    <t>Y1</t>
  </si>
  <si>
    <t>Y2</t>
  </si>
  <si>
    <t>Y3</t>
  </si>
  <si>
    <t>Required prodution Time per year [hr/year]</t>
  </si>
  <si>
    <t>Required prodution Time per unit [hr/unit]</t>
  </si>
  <si>
    <t>Hrs</t>
  </si>
  <si>
    <t>Shifts</t>
  </si>
  <si>
    <t>Required Production Time [h/year]</t>
  </si>
  <si>
    <t>Required Working Hours [h/day]</t>
  </si>
  <si>
    <t>Required Assembly Time [min/unit]</t>
  </si>
  <si>
    <t>Required Assembly Time [h/year]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</si>
</sst>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 x14ac:knownFonts="1">
    <font>
      <sz val="11"/>
      <color theme="1"/>
      <name val="Aptos Narrow"/>
      <family val="2"/>
      <scheme val="minor"/>
    </font>
    <font>
      <b/>
      <sz val="11"/>
      <color rgb="FF1F1F1F"/>
      <name val="Times New Roman"/>
      <family val="1"/>
    </font>
    <font>
      <sz val="11"/>
      <color rgb="FF1F1F1F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28"/>
      <color theme="1"/>
      <name val="Aptos Narrow"/>
      <family val="2"/>
      <scheme val="minor"/>
    </font>
    <font>
      <sz val="8"/>
      <color rgb="FF000000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1" xfId="0" applyBorder="1"/>
    <xf numFmtId="0" fontId="1" fillId="0" borderId="3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0" fillId="0" borderId="2" xfId="0" applyBorder="1"/>
    <xf numFmtId="0" fontId="1" fillId="0" borderId="5" xfId="0" applyFont="1" applyBorder="1" applyAlignment="1">
      <alignment horizontal="left" vertical="center" wrapText="1" indent="1" readingOrder="1"/>
    </xf>
    <xf numFmtId="3" fontId="2" fillId="0" borderId="4" xfId="0" applyNumberFormat="1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3" fillId="0" borderId="4" xfId="0" applyFont="1" applyBorder="1"/>
    <xf numFmtId="0" fontId="0" fillId="0" borderId="4" xfId="0" applyBorder="1"/>
    <xf numFmtId="0" fontId="1" fillId="0" borderId="7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0" fontId="0" fillId="0" borderId="6" xfId="0" applyBorder="1"/>
    <xf numFmtId="0" fontId="5" fillId="0" borderId="9" xfId="0" applyFont="1" applyBorder="1" applyAlignment="1">
      <alignment horizontal="justify" vertical="center" wrapText="1"/>
    </xf>
    <xf numFmtId="0" fontId="5" fillId="0" borderId="10" xfId="0" applyFont="1" applyBorder="1" applyAlignment="1">
      <alignment horizontal="justify" vertical="center" wrapText="1"/>
    </xf>
    <xf numFmtId="0" fontId="5" fillId="0" borderId="10" xfId="0" applyFont="1" applyBorder="1" applyAlignment="1">
      <alignment horizontal="left" vertical="center" wrapText="1"/>
    </xf>
    <xf numFmtId="0" fontId="6" fillId="2" borderId="11" xfId="0" applyFont="1" applyFill="1" applyBorder="1" applyAlignment="1">
      <alignment horizontal="left" vertical="center" wrapText="1"/>
    </xf>
    <xf numFmtId="9" fontId="7" fillId="2" borderId="12" xfId="0" applyNumberFormat="1" applyFont="1" applyFill="1" applyBorder="1" applyAlignment="1">
      <alignment horizontal="right" vertical="center" wrapText="1"/>
    </xf>
    <xf numFmtId="0" fontId="7" fillId="2" borderId="12" xfId="0" applyFont="1" applyFill="1" applyBorder="1" applyAlignment="1">
      <alignment horizontal="right" vertical="center" wrapText="1"/>
    </xf>
    <xf numFmtId="0" fontId="4" fillId="2" borderId="12" xfId="0" applyFont="1" applyFill="1" applyBorder="1" applyAlignment="1">
      <alignment horizontal="right" vertical="center" wrapText="1"/>
    </xf>
    <xf numFmtId="0" fontId="4" fillId="2" borderId="12" xfId="0" applyFont="1" applyFill="1" applyBorder="1" applyAlignment="1">
      <alignment horizontal="justify" vertical="center" wrapText="1"/>
    </xf>
    <xf numFmtId="0" fontId="5" fillId="0" borderId="11" xfId="0" applyFont="1" applyBorder="1" applyAlignment="1">
      <alignment horizontal="left" vertical="center" wrapText="1"/>
    </xf>
    <xf numFmtId="9" fontId="4" fillId="0" borderId="12" xfId="0" applyNumberFormat="1" applyFont="1" applyBorder="1" applyAlignment="1">
      <alignment horizontal="right" vertical="center" wrapText="1"/>
    </xf>
    <xf numFmtId="0" fontId="4" fillId="0" borderId="12" xfId="0" applyFont="1" applyBorder="1" applyAlignment="1">
      <alignment horizontal="justify" vertical="center" wrapText="1"/>
    </xf>
    <xf numFmtId="0" fontId="6" fillId="2" borderId="11" xfId="0" applyFont="1" applyFill="1" applyBorder="1" applyAlignment="1">
      <alignment horizontal="justify" vertical="center" wrapText="1"/>
    </xf>
    <xf numFmtId="0" fontId="5" fillId="0" borderId="11" xfId="0" applyFont="1" applyBorder="1" applyAlignment="1">
      <alignment horizontal="justify" vertical="center" wrapText="1"/>
    </xf>
    <xf numFmtId="0" fontId="7" fillId="2" borderId="12" xfId="0" applyFont="1" applyFill="1" applyBorder="1" applyAlignment="1">
      <alignment horizontal="justify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2" xfId="0" applyFont="1" applyBorder="1" applyAlignment="1">
      <alignment horizontal="justify" vertical="center" wrapText="1"/>
    </xf>
    <xf numFmtId="0" fontId="6" fillId="2" borderId="12" xfId="0" applyFont="1" applyFill="1" applyBorder="1" applyAlignment="1">
      <alignment horizontal="left" vertical="center" wrapText="1"/>
    </xf>
    <xf numFmtId="9" fontId="7" fillId="2" borderId="12" xfId="0" applyNumberFormat="1" applyFont="1" applyFill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7" fillId="2" borderId="12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left" vertical="center" wrapText="1"/>
    </xf>
    <xf numFmtId="1" fontId="7" fillId="2" borderId="12" xfId="0" applyNumberFormat="1" applyFont="1" applyFill="1" applyBorder="1" applyAlignment="1">
      <alignment horizontal="right" vertical="center" wrapText="1"/>
    </xf>
    <xf numFmtId="2" fontId="4" fillId="0" borderId="12" xfId="0" applyNumberFormat="1" applyFont="1" applyBorder="1" applyAlignment="1">
      <alignment vertical="center" wrapText="1"/>
    </xf>
    <xf numFmtId="2" fontId="7" fillId="2" borderId="12" xfId="0" applyNumberFormat="1" applyFont="1" applyFill="1" applyBorder="1" applyAlignment="1">
      <alignment vertical="center" wrapText="1"/>
    </xf>
    <xf numFmtId="1" fontId="7" fillId="2" borderId="12" xfId="0" applyNumberFormat="1" applyFont="1" applyFill="1" applyBorder="1" applyAlignment="1">
      <alignment vertical="center" wrapText="1"/>
    </xf>
    <xf numFmtId="1" fontId="4" fillId="0" borderId="12" xfId="0" applyNumberFormat="1" applyFont="1" applyBorder="1" applyAlignment="1">
      <alignment vertical="center" wrapText="1"/>
    </xf>
    <xf numFmtId="1" fontId="0" fillId="0" borderId="0" xfId="0" applyNumberFormat="1"/>
    <xf numFmtId="1" fontId="4" fillId="2" borderId="12" xfId="0" applyNumberFormat="1" applyFont="1" applyFill="1" applyBorder="1" applyAlignment="1">
      <alignment horizontal="justify" vertical="center" wrapText="1"/>
    </xf>
    <xf numFmtId="2" fontId="4" fillId="0" borderId="12" xfId="0" applyNumberFormat="1" applyFont="1" applyBorder="1" applyAlignment="1">
      <alignment horizontal="justify" vertical="center" wrapText="1"/>
    </xf>
    <xf numFmtId="2" fontId="7" fillId="2" borderId="12" xfId="0" applyNumberFormat="1" applyFont="1" applyFill="1" applyBorder="1" applyAlignment="1">
      <alignment horizontal="justify" vertical="center" wrapText="1"/>
    </xf>
    <xf numFmtId="0" fontId="8" fillId="0" borderId="0" xfId="0" applyFont="1"/>
    <xf numFmtId="2" fontId="4" fillId="0" borderId="0" xfId="0" applyNumberFormat="1" applyFont="1" applyAlignment="1">
      <alignment vertical="center" wrapText="1"/>
    </xf>
    <xf numFmtId="0" fontId="5" fillId="0" borderId="9" xfId="0" applyFont="1" applyBorder="1" applyAlignment="1">
      <alignment horizontal="left" vertical="center" wrapText="1"/>
    </xf>
    <xf numFmtId="0" fontId="7" fillId="2" borderId="15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7" fillId="2" borderId="16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6" fillId="2" borderId="16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horizontal="justify" vertical="center" wrapText="1"/>
    </xf>
    <xf numFmtId="164" fontId="4" fillId="2" borderId="12" xfId="0" applyNumberFormat="1" applyFont="1" applyFill="1" applyBorder="1" applyAlignment="1">
      <alignment horizontal="justify" vertical="center" wrapText="1"/>
    </xf>
    <xf numFmtId="165" fontId="4" fillId="2" borderId="12" xfId="0" applyNumberFormat="1" applyFont="1" applyFill="1" applyBorder="1" applyAlignment="1">
      <alignment horizontal="justify" vertical="center" wrapText="1"/>
    </xf>
    <xf numFmtId="164" fontId="0" fillId="0" borderId="0" xfId="0" applyNumberFormat="1"/>
    <xf numFmtId="165" fontId="0" fillId="0" borderId="0" xfId="0" applyNumberFormat="1"/>
    <xf numFmtId="2" fontId="7" fillId="2" borderId="16" xfId="0" applyNumberFormat="1" applyFont="1" applyFill="1" applyBorder="1" applyAlignment="1">
      <alignment horizontal="left" vertical="center" wrapText="1"/>
    </xf>
    <xf numFmtId="2" fontId="7" fillId="2" borderId="14" xfId="0" applyNumberFormat="1" applyFont="1" applyFill="1" applyBorder="1" applyAlignment="1">
      <alignment horizontal="left" vertical="center" wrapText="1"/>
    </xf>
    <xf numFmtId="2" fontId="0" fillId="0" borderId="0" xfId="0" applyNumberFormat="1"/>
    <xf numFmtId="0" fontId="6" fillId="2" borderId="16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left" vertical="center" wrapText="1"/>
    </xf>
    <xf numFmtId="0" fontId="7" fillId="2" borderId="16" xfId="0" applyFont="1" applyFill="1" applyBorder="1" applyAlignment="1">
      <alignment horizontal="left" vertical="center" wrapText="1"/>
    </xf>
    <xf numFmtId="0" fontId="7" fillId="2" borderId="14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left" vertical="center" wrapText="1"/>
    </xf>
    <xf numFmtId="0" fontId="5" fillId="2" borderId="16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2B21B-7A31-4FF1-A341-071C71BDA9A3}">
  <dimension ref="A1:D9"/>
  <sheetViews>
    <sheetView workbookViewId="0">
      <selection activeCell="F21" sqref="F21"/>
    </sheetView>
  </sheetViews>
  <sheetFormatPr defaultRowHeight="14.4" x14ac:dyDescent="0.3"/>
  <cols>
    <col min="1" max="1" width="12.33203125" style="5" customWidth="1"/>
    <col min="2" max="4" width="12.88671875" style="10" customWidth="1"/>
  </cols>
  <sheetData>
    <row r="1" spans="1:4" s="1" customFormat="1" x14ac:dyDescent="0.3">
      <c r="A1" s="2" t="s">
        <v>4</v>
      </c>
      <c r="B1" s="6" t="s">
        <v>0</v>
      </c>
      <c r="C1" s="6" t="s">
        <v>1</v>
      </c>
      <c r="D1" s="6" t="s">
        <v>2</v>
      </c>
    </row>
    <row r="2" spans="1:4" ht="69" x14ac:dyDescent="0.3">
      <c r="A2" s="3" t="s">
        <v>6</v>
      </c>
      <c r="B2" s="7">
        <v>150</v>
      </c>
      <c r="C2" s="7">
        <v>150</v>
      </c>
      <c r="D2" s="7">
        <v>200</v>
      </c>
    </row>
    <row r="3" spans="1:4" ht="69" x14ac:dyDescent="0.3">
      <c r="A3" s="3" t="s">
        <v>3</v>
      </c>
      <c r="B3" s="8">
        <v>252</v>
      </c>
      <c r="C3" s="8">
        <v>252</v>
      </c>
      <c r="D3" s="8">
        <v>252</v>
      </c>
    </row>
    <row r="4" spans="1:4" ht="55.2" x14ac:dyDescent="0.3">
      <c r="A4" s="3" t="s">
        <v>5</v>
      </c>
      <c r="B4" s="8">
        <v>1</v>
      </c>
      <c r="C4" s="8">
        <v>1</v>
      </c>
      <c r="D4" s="8">
        <v>1</v>
      </c>
    </row>
    <row r="5" spans="1:4" ht="55.2" x14ac:dyDescent="0.3">
      <c r="A5" s="3" t="s">
        <v>8</v>
      </c>
      <c r="B5" s="8">
        <f>7.5*3600</f>
        <v>27000</v>
      </c>
      <c r="C5" s="8">
        <f t="shared" ref="C5:D5" si="0">7.5*3600</f>
        <v>27000</v>
      </c>
      <c r="D5" s="8">
        <f t="shared" si="0"/>
        <v>27000</v>
      </c>
    </row>
    <row r="6" spans="1:4" ht="69" x14ac:dyDescent="0.3">
      <c r="A6" s="3" t="s">
        <v>7</v>
      </c>
      <c r="B6" s="7">
        <f>B3*B4*B5</f>
        <v>6804000</v>
      </c>
      <c r="C6" s="7">
        <f t="shared" ref="C6:D6" si="1">C3*C4*C5</f>
        <v>6804000</v>
      </c>
      <c r="D6" s="7">
        <f t="shared" si="1"/>
        <v>6804000</v>
      </c>
    </row>
    <row r="7" spans="1:4" s="13" customFormat="1" ht="27.6" x14ac:dyDescent="0.3">
      <c r="A7" s="11" t="s">
        <v>9</v>
      </c>
      <c r="B7" s="12">
        <f>B6/B2</f>
        <v>45360</v>
      </c>
      <c r="C7" s="12">
        <f>C6/C2</f>
        <v>45360</v>
      </c>
      <c r="D7" s="12">
        <f>D6/D2</f>
        <v>34020</v>
      </c>
    </row>
    <row r="8" spans="1:4" ht="27.6" x14ac:dyDescent="0.3">
      <c r="A8" s="4" t="s">
        <v>10</v>
      </c>
      <c r="B8" s="9">
        <f>B7/60</f>
        <v>756</v>
      </c>
      <c r="C8" s="9">
        <f t="shared" ref="C8:D8" si="2">C7/60</f>
        <v>756</v>
      </c>
      <c r="D8" s="9">
        <f t="shared" si="2"/>
        <v>567</v>
      </c>
    </row>
    <row r="9" spans="1:4" ht="27.6" x14ac:dyDescent="0.3">
      <c r="A9" s="4" t="s">
        <v>11</v>
      </c>
      <c r="B9" s="9">
        <f>B7/60/60</f>
        <v>12.6</v>
      </c>
      <c r="C9" s="9">
        <f t="shared" ref="C9:D9" si="3">C7/60/60</f>
        <v>12.6</v>
      </c>
      <c r="D9" s="9">
        <f t="shared" si="3"/>
        <v>9.4499999999999993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06E04-961D-4496-91AB-81E0D50611C9}">
  <dimension ref="A1:E13"/>
  <sheetViews>
    <sheetView topLeftCell="A4" workbookViewId="0">
      <selection activeCell="E1" sqref="E1:E13"/>
    </sheetView>
  </sheetViews>
  <sheetFormatPr defaultRowHeight="14.4" x14ac:dyDescent="0.3"/>
  <cols>
    <col min="1" max="1" width="17.88671875" customWidth="1"/>
    <col min="3" max="3" width="15" customWidth="1"/>
    <col min="4" max="4" width="14.44140625" customWidth="1"/>
    <col min="5" max="5" width="16.77734375" customWidth="1"/>
  </cols>
  <sheetData>
    <row r="1" spans="1:5" ht="109.8" thickBot="1" x14ac:dyDescent="0.35">
      <c r="A1" s="14" t="s">
        <v>12</v>
      </c>
      <c r="B1" s="15" t="s">
        <v>13</v>
      </c>
      <c r="C1" s="16" t="s">
        <v>14</v>
      </c>
      <c r="D1" s="15" t="s">
        <v>15</v>
      </c>
      <c r="E1" s="15" t="s">
        <v>16</v>
      </c>
    </row>
    <row r="2" spans="1:5" ht="31.8" thickBot="1" x14ac:dyDescent="0.35">
      <c r="A2" s="17" t="s">
        <v>17</v>
      </c>
      <c r="B2" s="18">
        <v>0.55000000000000004</v>
      </c>
      <c r="C2" s="19">
        <v>450</v>
      </c>
      <c r="D2" s="20">
        <f>B2*C2</f>
        <v>247.50000000000003</v>
      </c>
      <c r="E2" s="21">
        <f>D2*252</f>
        <v>62370.000000000007</v>
      </c>
    </row>
    <row r="3" spans="1:5" ht="78.599999999999994" thickBot="1" x14ac:dyDescent="0.35">
      <c r="A3" s="22" t="s">
        <v>18</v>
      </c>
      <c r="B3" s="23">
        <v>0.7</v>
      </c>
      <c r="C3" s="19">
        <v>450</v>
      </c>
      <c r="D3" s="20">
        <f t="shared" ref="D3:D13" si="0">B3*C3</f>
        <v>315</v>
      </c>
      <c r="E3" s="21">
        <f t="shared" ref="E3:E13" si="1">D3*252</f>
        <v>79380</v>
      </c>
    </row>
    <row r="4" spans="1:5" ht="78.599999999999994" thickBot="1" x14ac:dyDescent="0.35">
      <c r="A4" s="17" t="s">
        <v>19</v>
      </c>
      <c r="B4" s="18">
        <v>0.65</v>
      </c>
      <c r="C4" s="19">
        <v>450</v>
      </c>
      <c r="D4" s="20">
        <f t="shared" si="0"/>
        <v>292.5</v>
      </c>
      <c r="E4" s="21">
        <f t="shared" si="1"/>
        <v>73710</v>
      </c>
    </row>
    <row r="5" spans="1:5" ht="78.599999999999994" thickBot="1" x14ac:dyDescent="0.35">
      <c r="A5" s="22" t="s">
        <v>20</v>
      </c>
      <c r="B5" s="23">
        <v>0.7</v>
      </c>
      <c r="C5" s="19">
        <v>450</v>
      </c>
      <c r="D5" s="20">
        <f t="shared" si="0"/>
        <v>315</v>
      </c>
      <c r="E5" s="21">
        <f t="shared" si="1"/>
        <v>79380</v>
      </c>
    </row>
    <row r="6" spans="1:5" ht="16.2" thickBot="1" x14ac:dyDescent="0.35">
      <c r="A6" s="17" t="s">
        <v>21</v>
      </c>
      <c r="B6" s="18">
        <v>0.9</v>
      </c>
      <c r="C6" s="19">
        <v>450</v>
      </c>
      <c r="D6" s="20">
        <f t="shared" si="0"/>
        <v>405</v>
      </c>
      <c r="E6" s="21">
        <f t="shared" si="1"/>
        <v>102060</v>
      </c>
    </row>
    <row r="7" spans="1:5" ht="16.2" thickBot="1" x14ac:dyDescent="0.35">
      <c r="A7" s="22" t="s">
        <v>22</v>
      </c>
      <c r="B7" s="23">
        <v>0.6</v>
      </c>
      <c r="C7" s="19">
        <v>450</v>
      </c>
      <c r="D7" s="20">
        <f t="shared" si="0"/>
        <v>270</v>
      </c>
      <c r="E7" s="21">
        <f t="shared" si="1"/>
        <v>68040</v>
      </c>
    </row>
    <row r="8" spans="1:5" ht="16.2" thickBot="1" x14ac:dyDescent="0.35">
      <c r="A8" s="17" t="s">
        <v>23</v>
      </c>
      <c r="B8" s="18">
        <v>0.5</v>
      </c>
      <c r="C8" s="19">
        <v>450</v>
      </c>
      <c r="D8" s="20">
        <f t="shared" si="0"/>
        <v>225</v>
      </c>
      <c r="E8" s="21">
        <f t="shared" si="1"/>
        <v>56700</v>
      </c>
    </row>
    <row r="9" spans="1:5" ht="16.2" thickBot="1" x14ac:dyDescent="0.35">
      <c r="A9" s="22" t="s">
        <v>24</v>
      </c>
      <c r="B9" s="23">
        <v>0.7</v>
      </c>
      <c r="C9" s="19">
        <v>450</v>
      </c>
      <c r="D9" s="20">
        <f t="shared" si="0"/>
        <v>315</v>
      </c>
      <c r="E9" s="21">
        <f t="shared" si="1"/>
        <v>79380</v>
      </c>
    </row>
    <row r="10" spans="1:5" ht="16.2" thickBot="1" x14ac:dyDescent="0.35">
      <c r="A10" s="17" t="s">
        <v>25</v>
      </c>
      <c r="B10" s="18">
        <v>0.5</v>
      </c>
      <c r="C10" s="19">
        <v>450</v>
      </c>
      <c r="D10" s="20">
        <f t="shared" si="0"/>
        <v>225</v>
      </c>
      <c r="E10" s="21">
        <f t="shared" si="1"/>
        <v>56700</v>
      </c>
    </row>
    <row r="11" spans="1:5" ht="47.4" thickBot="1" x14ac:dyDescent="0.35">
      <c r="A11" s="22" t="s">
        <v>26</v>
      </c>
      <c r="B11" s="23">
        <v>0.75</v>
      </c>
      <c r="C11" s="19">
        <v>450</v>
      </c>
      <c r="D11" s="20">
        <f t="shared" si="0"/>
        <v>337.5</v>
      </c>
      <c r="E11" s="21">
        <f t="shared" si="1"/>
        <v>85050</v>
      </c>
    </row>
    <row r="12" spans="1:5" ht="16.2" thickBot="1" x14ac:dyDescent="0.35">
      <c r="A12" s="17" t="s">
        <v>27</v>
      </c>
      <c r="B12" s="18">
        <v>0.85</v>
      </c>
      <c r="C12" s="19">
        <v>450</v>
      </c>
      <c r="D12" s="20">
        <f t="shared" si="0"/>
        <v>382.5</v>
      </c>
      <c r="E12" s="21">
        <f t="shared" si="1"/>
        <v>96390</v>
      </c>
    </row>
    <row r="13" spans="1:5" ht="31.8" thickBot="1" x14ac:dyDescent="0.35">
      <c r="A13" s="22" t="s">
        <v>28</v>
      </c>
      <c r="B13" s="23">
        <v>0.35</v>
      </c>
      <c r="C13" s="19">
        <v>450</v>
      </c>
      <c r="D13" s="20">
        <f t="shared" si="0"/>
        <v>157.5</v>
      </c>
      <c r="E13" s="21">
        <f t="shared" si="1"/>
        <v>39690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C935-1910-457F-AF5E-DDCB700C53A2}">
  <dimension ref="A1:I15"/>
  <sheetViews>
    <sheetView zoomScaleNormal="100" workbookViewId="0">
      <selection activeCell="C19" sqref="C19"/>
    </sheetView>
  </sheetViews>
  <sheetFormatPr defaultRowHeight="14.4" x14ac:dyDescent="0.3"/>
  <cols>
    <col min="2" max="2" width="19.44140625" customWidth="1"/>
    <col min="3" max="5" width="27.5546875" customWidth="1"/>
    <col min="6" max="6" width="12.21875" customWidth="1"/>
    <col min="7" max="8" width="19" customWidth="1"/>
    <col min="9" max="9" width="8.88671875" customWidth="1"/>
    <col min="11" max="11" width="27.6640625" customWidth="1"/>
  </cols>
  <sheetData>
    <row r="1" spans="1:9" ht="63" thickBot="1" x14ac:dyDescent="0.35">
      <c r="A1" s="14" t="s">
        <v>29</v>
      </c>
      <c r="B1" s="14" t="s">
        <v>30</v>
      </c>
      <c r="C1" s="36" t="s">
        <v>44</v>
      </c>
      <c r="D1" s="37" t="s">
        <v>69</v>
      </c>
      <c r="E1" s="37" t="s">
        <v>70</v>
      </c>
      <c r="F1" s="38" t="s">
        <v>46</v>
      </c>
      <c r="G1" s="37" t="s">
        <v>45</v>
      </c>
      <c r="H1" s="37" t="s">
        <v>47</v>
      </c>
    </row>
    <row r="2" spans="1:9" ht="31.8" thickBot="1" x14ac:dyDescent="0.35">
      <c r="A2" s="25">
        <v>1</v>
      </c>
      <c r="B2" s="31" t="s">
        <v>42</v>
      </c>
      <c r="C2" s="32" t="s">
        <v>49</v>
      </c>
      <c r="D2" s="42">
        <f>'production-time-calc'!E4</f>
        <v>102</v>
      </c>
      <c r="E2" s="42">
        <f>'production-time-calc'!F4</f>
        <v>15</v>
      </c>
      <c r="F2" s="39">
        <f>D2+E2</f>
        <v>117</v>
      </c>
      <c r="G2" s="39">
        <v>150</v>
      </c>
      <c r="H2" s="39">
        <f>F2*G2</f>
        <v>17550</v>
      </c>
      <c r="I2" s="17"/>
    </row>
    <row r="3" spans="1:9" ht="16.2" thickBot="1" x14ac:dyDescent="0.35">
      <c r="A3" s="14">
        <v>2</v>
      </c>
      <c r="B3" s="16" t="s">
        <v>31</v>
      </c>
      <c r="C3" s="33" t="s">
        <v>50</v>
      </c>
      <c r="D3" s="43">
        <f>'production-time-calc'!E11</f>
        <v>193</v>
      </c>
      <c r="E3" s="43">
        <f>'production-time-calc'!F11</f>
        <v>2</v>
      </c>
      <c r="F3" s="39">
        <f t="shared" ref="F3:F14" si="0">D3+E3</f>
        <v>195</v>
      </c>
      <c r="G3" s="39">
        <v>150</v>
      </c>
      <c r="H3" s="39">
        <f t="shared" ref="H3:H14" si="1">F3*G3</f>
        <v>29250</v>
      </c>
      <c r="I3" s="22"/>
    </row>
    <row r="4" spans="1:9" ht="16.2" thickBot="1" x14ac:dyDescent="0.35">
      <c r="A4" s="25">
        <v>3</v>
      </c>
      <c r="B4" s="31" t="s">
        <v>32</v>
      </c>
      <c r="C4" s="34" t="s">
        <v>50</v>
      </c>
      <c r="D4" s="42">
        <f>'production-time-calc'!E13</f>
        <v>202</v>
      </c>
      <c r="E4" s="42">
        <f>'production-time-calc'!F13</f>
        <v>5</v>
      </c>
      <c r="F4" s="39">
        <f t="shared" si="0"/>
        <v>207</v>
      </c>
      <c r="G4" s="39">
        <v>150</v>
      </c>
      <c r="H4" s="39">
        <f t="shared" si="1"/>
        <v>31050</v>
      </c>
      <c r="I4" s="17"/>
    </row>
    <row r="5" spans="1:9" ht="16.2" thickBot="1" x14ac:dyDescent="0.35">
      <c r="A5" s="26">
        <v>4</v>
      </c>
      <c r="B5" s="16" t="s">
        <v>33</v>
      </c>
      <c r="C5" s="33" t="s">
        <v>51</v>
      </c>
      <c r="D5" s="43">
        <f>'production-time-calc'!E15</f>
        <v>30</v>
      </c>
      <c r="E5" s="43">
        <f>'production-time-calc'!F15</f>
        <v>16</v>
      </c>
      <c r="F5" s="39">
        <f t="shared" si="0"/>
        <v>46</v>
      </c>
      <c r="G5" s="39">
        <v>150</v>
      </c>
      <c r="H5" s="39">
        <f t="shared" si="1"/>
        <v>6900</v>
      </c>
      <c r="I5" s="22"/>
    </row>
    <row r="6" spans="1:9" ht="31.8" thickBot="1" x14ac:dyDescent="0.35">
      <c r="A6" s="25">
        <v>5</v>
      </c>
      <c r="B6" s="31" t="s">
        <v>34</v>
      </c>
      <c r="C6" s="34" t="s">
        <v>52</v>
      </c>
      <c r="D6" s="42">
        <f>'production-time-calc'!E23</f>
        <v>35</v>
      </c>
      <c r="E6" s="42">
        <f>'production-time-calc'!F23</f>
        <v>10</v>
      </c>
      <c r="F6" s="39">
        <f t="shared" si="0"/>
        <v>45</v>
      </c>
      <c r="G6" s="39">
        <v>150</v>
      </c>
      <c r="H6" s="39">
        <f t="shared" si="1"/>
        <v>6750</v>
      </c>
      <c r="I6" s="17"/>
    </row>
    <row r="7" spans="1:9" ht="31.8" thickBot="1" x14ac:dyDescent="0.35">
      <c r="A7" s="26">
        <v>6</v>
      </c>
      <c r="B7" s="16" t="s">
        <v>35</v>
      </c>
      <c r="C7" s="33" t="s">
        <v>52</v>
      </c>
      <c r="D7" s="43">
        <f>'production-time-calc'!E24</f>
        <v>60</v>
      </c>
      <c r="E7" s="43">
        <f>'production-time-calc'!F24</f>
        <v>15</v>
      </c>
      <c r="F7" s="39">
        <f t="shared" si="0"/>
        <v>75</v>
      </c>
      <c r="G7" s="39">
        <v>150</v>
      </c>
      <c r="H7" s="39">
        <f t="shared" si="1"/>
        <v>11250</v>
      </c>
      <c r="I7" s="22"/>
    </row>
    <row r="8" spans="1:9" ht="31.8" thickBot="1" x14ac:dyDescent="0.35">
      <c r="A8" s="25">
        <v>7</v>
      </c>
      <c r="B8" s="31" t="s">
        <v>36</v>
      </c>
      <c r="C8" s="34" t="s">
        <v>53</v>
      </c>
      <c r="D8" s="42">
        <f>'production-time-calc'!E25</f>
        <v>74</v>
      </c>
      <c r="E8" s="42">
        <f>'production-time-calc'!F25</f>
        <v>60</v>
      </c>
      <c r="F8" s="39">
        <f t="shared" si="0"/>
        <v>134</v>
      </c>
      <c r="G8" s="39">
        <v>150</v>
      </c>
      <c r="H8" s="39">
        <f t="shared" si="1"/>
        <v>20100</v>
      </c>
      <c r="I8" s="17"/>
    </row>
    <row r="9" spans="1:9" ht="31.8" thickBot="1" x14ac:dyDescent="0.35">
      <c r="A9" s="26">
        <v>8</v>
      </c>
      <c r="B9" s="16" t="s">
        <v>37</v>
      </c>
      <c r="C9" s="33" t="s">
        <v>72</v>
      </c>
      <c r="D9" s="43">
        <f>'production-time-calc'!E33</f>
        <v>40</v>
      </c>
      <c r="E9" s="43">
        <f>'production-time-calc'!F33</f>
        <v>30</v>
      </c>
      <c r="F9" s="39">
        <f t="shared" si="0"/>
        <v>70</v>
      </c>
      <c r="G9" s="39">
        <v>150</v>
      </c>
      <c r="H9" s="39">
        <f t="shared" si="1"/>
        <v>10500</v>
      </c>
      <c r="I9" s="22"/>
    </row>
    <row r="10" spans="1:9" ht="16.2" thickBot="1" x14ac:dyDescent="0.35">
      <c r="A10" s="25">
        <v>9</v>
      </c>
      <c r="B10" s="31" t="s">
        <v>38</v>
      </c>
      <c r="C10" s="34" t="s">
        <v>54</v>
      </c>
      <c r="D10" s="42">
        <f>'production-time-calc'!E38</f>
        <v>40</v>
      </c>
      <c r="E10" s="42">
        <f>'production-time-calc'!F38</f>
        <v>25</v>
      </c>
      <c r="F10" s="39">
        <f t="shared" si="0"/>
        <v>65</v>
      </c>
      <c r="G10" s="39">
        <v>150</v>
      </c>
      <c r="H10" s="39">
        <f t="shared" si="1"/>
        <v>9750</v>
      </c>
      <c r="I10" s="17"/>
    </row>
    <row r="11" spans="1:9" ht="16.2" thickBot="1" x14ac:dyDescent="0.35">
      <c r="A11" s="26">
        <v>10</v>
      </c>
      <c r="B11" s="16" t="s">
        <v>39</v>
      </c>
      <c r="C11" s="33" t="s">
        <v>54</v>
      </c>
      <c r="D11" s="43">
        <f>'production-time-calc'!E39</f>
        <v>20</v>
      </c>
      <c r="E11" s="43">
        <f>'production-time-calc'!F39</f>
        <v>10</v>
      </c>
      <c r="F11" s="39">
        <f t="shared" si="0"/>
        <v>30</v>
      </c>
      <c r="G11" s="39">
        <v>150</v>
      </c>
      <c r="H11" s="39">
        <f t="shared" si="1"/>
        <v>4500</v>
      </c>
      <c r="I11" s="22"/>
    </row>
    <row r="12" spans="1:9" ht="16.2" thickBot="1" x14ac:dyDescent="0.35">
      <c r="A12" s="25">
        <v>11</v>
      </c>
      <c r="B12" s="31" t="s">
        <v>40</v>
      </c>
      <c r="C12" s="34" t="s">
        <v>52</v>
      </c>
      <c r="D12" s="42">
        <f>'production-time-calc'!E40</f>
        <v>8</v>
      </c>
      <c r="E12" s="42">
        <f>'production-time-calc'!F40</f>
        <v>5</v>
      </c>
      <c r="F12" s="39">
        <f t="shared" si="0"/>
        <v>13</v>
      </c>
      <c r="G12" s="39">
        <v>150</v>
      </c>
      <c r="H12" s="39">
        <f t="shared" si="1"/>
        <v>1950</v>
      </c>
      <c r="I12" s="17"/>
    </row>
    <row r="13" spans="1:9" ht="31.8" thickBot="1" x14ac:dyDescent="0.35">
      <c r="A13" s="26">
        <v>12</v>
      </c>
      <c r="B13" s="16" t="s">
        <v>41</v>
      </c>
      <c r="C13" s="33" t="s">
        <v>71</v>
      </c>
      <c r="D13" s="43">
        <f>'production-time-calc'!E41</f>
        <v>10</v>
      </c>
      <c r="E13" s="43">
        <f>'production-time-calc'!F41</f>
        <v>10</v>
      </c>
      <c r="F13" s="39">
        <f t="shared" si="0"/>
        <v>20</v>
      </c>
      <c r="G13" s="39">
        <v>150</v>
      </c>
      <c r="H13" s="39">
        <f t="shared" si="1"/>
        <v>3000</v>
      </c>
      <c r="I13" s="22"/>
    </row>
    <row r="14" spans="1:9" ht="31.8" thickBot="1" x14ac:dyDescent="0.35">
      <c r="A14" s="25">
        <v>13</v>
      </c>
      <c r="B14" s="31" t="s">
        <v>43</v>
      </c>
      <c r="C14" s="34" t="s">
        <v>55</v>
      </c>
      <c r="D14" s="42">
        <f>'production-time-calc'!E44</f>
        <v>10</v>
      </c>
      <c r="E14" s="42">
        <f>'production-time-calc'!F44</f>
        <v>5</v>
      </c>
      <c r="F14" s="39">
        <f t="shared" si="0"/>
        <v>15</v>
      </c>
      <c r="G14" s="39">
        <v>150</v>
      </c>
      <c r="H14" s="39">
        <f t="shared" si="1"/>
        <v>2250</v>
      </c>
      <c r="I14" s="27"/>
    </row>
    <row r="15" spans="1:9" x14ac:dyDescent="0.3">
      <c r="F15" s="44">
        <f>SUM(F2:F14)</f>
        <v>1032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109F-8A36-4D93-A359-56271D892B16}">
  <dimension ref="A1:E13"/>
  <sheetViews>
    <sheetView workbookViewId="0">
      <selection activeCell="B17" sqref="B17"/>
    </sheetView>
  </sheetViews>
  <sheetFormatPr defaultRowHeight="14.4" x14ac:dyDescent="0.3"/>
  <cols>
    <col min="1" max="1" width="19.77734375" customWidth="1"/>
    <col min="2" max="2" width="18.77734375" customWidth="1"/>
    <col min="3" max="4" width="15.77734375" customWidth="1"/>
    <col min="5" max="5" width="10.88671875" customWidth="1"/>
  </cols>
  <sheetData>
    <row r="1" spans="1:5" ht="47.4" thickBot="1" x14ac:dyDescent="0.35">
      <c r="A1" s="14" t="s">
        <v>12</v>
      </c>
      <c r="B1" s="16" t="s">
        <v>74</v>
      </c>
      <c r="C1" s="15" t="s">
        <v>75</v>
      </c>
      <c r="D1" s="15" t="s">
        <v>73</v>
      </c>
      <c r="E1" s="16" t="s">
        <v>76</v>
      </c>
    </row>
    <row r="2" spans="1:5" ht="16.2" thickBot="1" x14ac:dyDescent="0.35">
      <c r="A2" s="17" t="s">
        <v>17</v>
      </c>
      <c r="B2" s="45">
        <f>'production-time-calc'!D49</f>
        <v>60300</v>
      </c>
      <c r="C2" s="21">
        <f>'machine-efficiency'!E2</f>
        <v>62370.000000000007</v>
      </c>
      <c r="D2" s="21">
        <f>_xlfn.CEILING.MATH(E2)</f>
        <v>1</v>
      </c>
      <c r="E2" s="21">
        <f>B2/C2</f>
        <v>0.96681096681096668</v>
      </c>
    </row>
    <row r="3" spans="1:5" ht="31.8" thickBot="1" x14ac:dyDescent="0.35">
      <c r="A3" s="22" t="s">
        <v>18</v>
      </c>
      <c r="B3" s="45">
        <f>'production-time-calc'!D50</f>
        <v>24450</v>
      </c>
      <c r="C3" s="21">
        <f>'machine-efficiency'!E3</f>
        <v>79380</v>
      </c>
      <c r="D3" s="21">
        <f t="shared" ref="D3:D13" si="0">_xlfn.CEILING.MATH(E3)</f>
        <v>1</v>
      </c>
      <c r="E3" s="21">
        <f t="shared" ref="E3:E13" si="1">B3/C3</f>
        <v>0.30801209372637944</v>
      </c>
    </row>
    <row r="4" spans="1:5" ht="31.8" thickBot="1" x14ac:dyDescent="0.35">
      <c r="A4" s="17" t="s">
        <v>19</v>
      </c>
      <c r="B4" s="45">
        <f>'production-time-calc'!D51</f>
        <v>19950</v>
      </c>
      <c r="C4" s="21">
        <f>'machine-efficiency'!E4</f>
        <v>73710</v>
      </c>
      <c r="D4" s="21">
        <f t="shared" si="0"/>
        <v>1</v>
      </c>
      <c r="E4" s="21">
        <f t="shared" si="1"/>
        <v>0.27065527065527067</v>
      </c>
    </row>
    <row r="5" spans="1:5" ht="31.8" thickBot="1" x14ac:dyDescent="0.35">
      <c r="A5" s="22" t="s">
        <v>20</v>
      </c>
      <c r="B5" s="45">
        <f>'production-time-calc'!D52</f>
        <v>14250</v>
      </c>
      <c r="C5" s="21">
        <f>'machine-efficiency'!E5</f>
        <v>79380</v>
      </c>
      <c r="D5" s="21">
        <f t="shared" si="0"/>
        <v>1</v>
      </c>
      <c r="E5" s="21">
        <f t="shared" si="1"/>
        <v>0.17951625094482238</v>
      </c>
    </row>
    <row r="6" spans="1:5" ht="16.2" thickBot="1" x14ac:dyDescent="0.35">
      <c r="A6" s="17" t="s">
        <v>21</v>
      </c>
      <c r="B6" s="45">
        <f>'production-time-calc'!D53</f>
        <v>2550</v>
      </c>
      <c r="C6" s="21">
        <f>'machine-efficiency'!E6</f>
        <v>102060</v>
      </c>
      <c r="D6" s="21">
        <f t="shared" si="0"/>
        <v>1</v>
      </c>
      <c r="E6" s="21">
        <f t="shared" si="1"/>
        <v>2.4985302763080541E-2</v>
      </c>
    </row>
    <row r="7" spans="1:5" ht="16.2" thickBot="1" x14ac:dyDescent="0.35">
      <c r="A7" s="22" t="s">
        <v>22</v>
      </c>
      <c r="B7" s="45">
        <f>'production-time-calc'!D54</f>
        <v>2100</v>
      </c>
      <c r="C7" s="21">
        <f>'machine-efficiency'!E7</f>
        <v>68040</v>
      </c>
      <c r="D7" s="21">
        <f t="shared" si="0"/>
        <v>1</v>
      </c>
      <c r="E7" s="21">
        <f t="shared" si="1"/>
        <v>3.0864197530864196E-2</v>
      </c>
    </row>
    <row r="8" spans="1:5" ht="16.2" thickBot="1" x14ac:dyDescent="0.35">
      <c r="A8" s="17" t="s">
        <v>23</v>
      </c>
      <c r="B8" s="45">
        <f>'production-time-calc'!D55</f>
        <v>2400</v>
      </c>
      <c r="C8" s="21">
        <f>'machine-efficiency'!E8</f>
        <v>56700</v>
      </c>
      <c r="D8" s="21">
        <f t="shared" si="0"/>
        <v>1</v>
      </c>
      <c r="E8" s="21">
        <f t="shared" si="1"/>
        <v>4.2328042328042326E-2</v>
      </c>
    </row>
    <row r="9" spans="1:5" ht="16.2" thickBot="1" x14ac:dyDescent="0.35">
      <c r="A9" s="22" t="s">
        <v>24</v>
      </c>
      <c r="B9" s="45">
        <f>'production-time-calc'!D56</f>
        <v>3750</v>
      </c>
      <c r="C9" s="21">
        <f>'machine-efficiency'!E9</f>
        <v>79380</v>
      </c>
      <c r="D9" s="21">
        <f t="shared" si="0"/>
        <v>1</v>
      </c>
      <c r="E9" s="21">
        <f t="shared" si="1"/>
        <v>4.7241118669690101E-2</v>
      </c>
    </row>
    <row r="10" spans="1:5" ht="16.2" thickBot="1" x14ac:dyDescent="0.35">
      <c r="A10" s="17" t="s">
        <v>25</v>
      </c>
      <c r="B10" s="45">
        <f>'production-time-calc'!D57</f>
        <v>11550</v>
      </c>
      <c r="C10" s="21">
        <f>'machine-efficiency'!E10</f>
        <v>56700</v>
      </c>
      <c r="D10" s="21">
        <f t="shared" si="0"/>
        <v>1</v>
      </c>
      <c r="E10" s="21">
        <f t="shared" si="1"/>
        <v>0.20370370370370369</v>
      </c>
    </row>
    <row r="11" spans="1:5" ht="31.8" thickBot="1" x14ac:dyDescent="0.35">
      <c r="A11" s="22" t="s">
        <v>26</v>
      </c>
      <c r="B11" s="45">
        <f>'production-time-calc'!D58</f>
        <v>1650</v>
      </c>
      <c r="C11" s="21">
        <f>'machine-efficiency'!E11</f>
        <v>85050</v>
      </c>
      <c r="D11" s="21">
        <f t="shared" si="0"/>
        <v>1</v>
      </c>
      <c r="E11" s="21">
        <f t="shared" si="1"/>
        <v>1.9400352733686066E-2</v>
      </c>
    </row>
    <row r="12" spans="1:5" ht="16.2" thickBot="1" x14ac:dyDescent="0.35">
      <c r="A12" s="17" t="s">
        <v>27</v>
      </c>
      <c r="B12" s="45">
        <f>'production-time-calc'!D59</f>
        <v>3075</v>
      </c>
      <c r="C12" s="21">
        <f>'machine-efficiency'!E12</f>
        <v>96390</v>
      </c>
      <c r="D12" s="21">
        <f t="shared" si="0"/>
        <v>1</v>
      </c>
      <c r="E12" s="21">
        <f t="shared" si="1"/>
        <v>3.1901649548708375E-2</v>
      </c>
    </row>
    <row r="13" spans="1:5" ht="31.8" thickBot="1" x14ac:dyDescent="0.35">
      <c r="A13" s="22" t="s">
        <v>28</v>
      </c>
      <c r="B13" s="45">
        <f>'production-time-calc'!D60</f>
        <v>3750</v>
      </c>
      <c r="C13" s="21">
        <f>'machine-efficiency'!E13</f>
        <v>39690</v>
      </c>
      <c r="D13" s="21">
        <f t="shared" si="0"/>
        <v>1</v>
      </c>
      <c r="E13" s="21">
        <f t="shared" si="1"/>
        <v>9.4482237339380201E-2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7BB7A-75CF-4381-AF9B-516380362064}">
  <dimension ref="A1:G31"/>
  <sheetViews>
    <sheetView topLeftCell="A11" workbookViewId="0">
      <selection activeCell="D30" sqref="D30"/>
    </sheetView>
  </sheetViews>
  <sheetFormatPr defaultRowHeight="14.4" x14ac:dyDescent="0.3"/>
  <cols>
    <col min="1" max="1" width="16.5546875" customWidth="1"/>
    <col min="2" max="2" width="16.33203125" customWidth="1"/>
    <col min="3" max="3" width="24.33203125" customWidth="1"/>
    <col min="4" max="6" width="22.44140625" customWidth="1"/>
    <col min="7" max="7" width="13.5546875" customWidth="1"/>
  </cols>
  <sheetData>
    <row r="1" spans="1:7" ht="36.6" x14ac:dyDescent="0.7">
      <c r="A1" s="48" t="s">
        <v>99</v>
      </c>
    </row>
    <row r="2" spans="1:7" ht="15" thickBot="1" x14ac:dyDescent="0.35"/>
    <row r="3" spans="1:7" ht="31.8" thickBot="1" x14ac:dyDescent="0.35">
      <c r="A3" s="14" t="s">
        <v>12</v>
      </c>
      <c r="B3" s="15" t="s">
        <v>73</v>
      </c>
      <c r="C3" s="16" t="s">
        <v>192</v>
      </c>
      <c r="D3" s="16" t="s">
        <v>193</v>
      </c>
      <c r="E3" s="16" t="s">
        <v>118</v>
      </c>
      <c r="F3" s="16"/>
    </row>
    <row r="4" spans="1:7" ht="16.2" thickBot="1" x14ac:dyDescent="0.35">
      <c r="A4" s="17" t="s">
        <v>17</v>
      </c>
      <c r="B4" s="21">
        <f>'machine-allocation'!D2</f>
        <v>1</v>
      </c>
      <c r="C4" s="60">
        <f>'production-time-calc'!F49</f>
        <v>1005</v>
      </c>
      <c r="D4" s="60">
        <f>'production-time-calc'!E49</f>
        <v>6.7</v>
      </c>
      <c r="E4" s="59">
        <f>D4/(7.5)</f>
        <v>0.89333333333333331</v>
      </c>
      <c r="F4" s="21"/>
      <c r="G4" s="21"/>
    </row>
    <row r="5" spans="1:7" ht="31.8" thickBot="1" x14ac:dyDescent="0.35">
      <c r="A5" s="22" t="s">
        <v>18</v>
      </c>
      <c r="B5" s="21">
        <f>'machine-allocation'!D3</f>
        <v>1</v>
      </c>
      <c r="C5" s="60">
        <f>'production-time-calc'!F50</f>
        <v>407.5</v>
      </c>
      <c r="D5" s="60">
        <f>'production-time-calc'!E50</f>
        <v>2.7166666666666668</v>
      </c>
      <c r="E5" s="59">
        <f t="shared" ref="E5:E13" si="0">D5/(7.5)</f>
        <v>0.36222222222222222</v>
      </c>
      <c r="F5" s="21"/>
      <c r="G5" s="24"/>
    </row>
    <row r="6" spans="1:7" ht="47.4" thickBot="1" x14ac:dyDescent="0.35">
      <c r="A6" s="17" t="s">
        <v>19</v>
      </c>
      <c r="B6" s="21">
        <f>'machine-allocation'!D4</f>
        <v>1</v>
      </c>
      <c r="C6" s="60">
        <f>'production-time-calc'!F51</f>
        <v>332.5</v>
      </c>
      <c r="D6" s="60">
        <f>'production-time-calc'!E51</f>
        <v>2.2166666666666668</v>
      </c>
      <c r="E6" s="59">
        <f t="shared" si="0"/>
        <v>0.29555555555555557</v>
      </c>
      <c r="F6" s="21"/>
      <c r="G6" s="21"/>
    </row>
    <row r="7" spans="1:7" ht="31.8" thickBot="1" x14ac:dyDescent="0.35">
      <c r="A7" s="22" t="s">
        <v>20</v>
      </c>
      <c r="B7" s="21">
        <f>'machine-allocation'!D5</f>
        <v>1</v>
      </c>
      <c r="C7" s="60">
        <f>'production-time-calc'!F52</f>
        <v>237.5</v>
      </c>
      <c r="D7" s="60">
        <f>'production-time-calc'!E52</f>
        <v>1.5833333333333333</v>
      </c>
      <c r="E7" s="59">
        <f t="shared" si="0"/>
        <v>0.21111111111111111</v>
      </c>
      <c r="F7" s="21"/>
    </row>
    <row r="8" spans="1:7" ht="16.2" thickBot="1" x14ac:dyDescent="0.35">
      <c r="A8" s="17" t="s">
        <v>21</v>
      </c>
      <c r="B8" s="21">
        <f>'machine-allocation'!D6</f>
        <v>1</v>
      </c>
      <c r="C8" s="60">
        <f>'production-time-calc'!F53</f>
        <v>42.5</v>
      </c>
      <c r="D8" s="60">
        <f>'production-time-calc'!E53</f>
        <v>0.28333333333333333</v>
      </c>
      <c r="E8" s="59">
        <f t="shared" si="0"/>
        <v>3.7777777777777778E-2</v>
      </c>
      <c r="F8" s="21"/>
    </row>
    <row r="9" spans="1:7" ht="16.2" thickBot="1" x14ac:dyDescent="0.35">
      <c r="A9" s="22" t="s">
        <v>22</v>
      </c>
      <c r="B9" s="21">
        <f>'machine-allocation'!D7</f>
        <v>1</v>
      </c>
      <c r="C9" s="60">
        <f>'production-time-calc'!F54</f>
        <v>35</v>
      </c>
      <c r="D9" s="60">
        <f>'production-time-calc'!E54</f>
        <v>0.23333333333333334</v>
      </c>
      <c r="E9" s="59">
        <f t="shared" si="0"/>
        <v>3.111111111111111E-2</v>
      </c>
      <c r="F9" s="21"/>
    </row>
    <row r="10" spans="1:7" ht="16.2" thickBot="1" x14ac:dyDescent="0.35">
      <c r="A10" s="17" t="s">
        <v>23</v>
      </c>
      <c r="B10" s="21">
        <f>'machine-allocation'!D8</f>
        <v>1</v>
      </c>
      <c r="C10" s="60">
        <f>'production-time-calc'!F55</f>
        <v>40</v>
      </c>
      <c r="D10" s="60">
        <f>'production-time-calc'!E55</f>
        <v>0.26666666666666666</v>
      </c>
      <c r="E10" s="59">
        <f t="shared" si="0"/>
        <v>3.5555555555555556E-2</v>
      </c>
      <c r="F10" s="21"/>
    </row>
    <row r="11" spans="1:7" ht="16.2" thickBot="1" x14ac:dyDescent="0.35">
      <c r="A11" s="22" t="s">
        <v>24</v>
      </c>
      <c r="B11" s="21">
        <f>'machine-allocation'!D9</f>
        <v>1</v>
      </c>
      <c r="C11" s="60">
        <f>'production-time-calc'!F56</f>
        <v>62.5</v>
      </c>
      <c r="D11" s="60">
        <f>'production-time-calc'!E56</f>
        <v>0.41666666666666669</v>
      </c>
      <c r="E11" s="59">
        <f t="shared" si="0"/>
        <v>5.5555555555555559E-2</v>
      </c>
      <c r="F11" s="21"/>
    </row>
    <row r="12" spans="1:7" ht="16.2" thickBot="1" x14ac:dyDescent="0.35">
      <c r="A12" s="17" t="s">
        <v>25</v>
      </c>
      <c r="B12" s="21">
        <f>'machine-allocation'!D10</f>
        <v>1</v>
      </c>
      <c r="C12" s="60">
        <f>'production-time-calc'!F57</f>
        <v>192.5</v>
      </c>
      <c r="D12" s="60">
        <f>'production-time-calc'!E57</f>
        <v>1.2833333333333334</v>
      </c>
      <c r="E12" s="59">
        <f t="shared" si="0"/>
        <v>0.17111111111111113</v>
      </c>
      <c r="F12" s="21"/>
    </row>
    <row r="13" spans="1:7" ht="31.8" thickBot="1" x14ac:dyDescent="0.35">
      <c r="A13" s="22" t="s">
        <v>28</v>
      </c>
      <c r="B13" s="21">
        <f>'machine-allocation'!D13</f>
        <v>1</v>
      </c>
      <c r="C13" s="60">
        <f>'production-time-calc'!F58</f>
        <v>27.5</v>
      </c>
      <c r="D13" s="60">
        <f>'production-time-calc'!E58</f>
        <v>0.18333333333333332</v>
      </c>
      <c r="E13" s="59">
        <f t="shared" si="0"/>
        <v>2.4444444444444442E-2</v>
      </c>
      <c r="F13" s="21"/>
    </row>
    <row r="14" spans="1:7" ht="15.6" x14ac:dyDescent="0.3">
      <c r="D14" s="62">
        <f>SUM(D4:D13)</f>
        <v>15.883333333333335</v>
      </c>
      <c r="E14" s="61">
        <f>SUM(E4:E13)</f>
        <v>2.1177777777777775</v>
      </c>
      <c r="F14" s="58"/>
    </row>
    <row r="19" spans="1:6" ht="37.200000000000003" thickBot="1" x14ac:dyDescent="0.75">
      <c r="A19" s="48" t="s">
        <v>100</v>
      </c>
    </row>
    <row r="20" spans="1:6" ht="47.4" thickBot="1" x14ac:dyDescent="0.35">
      <c r="A20" s="50" t="s">
        <v>120</v>
      </c>
      <c r="B20" s="16" t="s">
        <v>195</v>
      </c>
      <c r="C20" s="16" t="s">
        <v>193</v>
      </c>
      <c r="D20" s="16" t="s">
        <v>118</v>
      </c>
      <c r="F20" s="16" t="s">
        <v>194</v>
      </c>
    </row>
    <row r="21" spans="1:6" ht="15.6" customHeight="1" thickBot="1" x14ac:dyDescent="0.35">
      <c r="A21" s="57" t="s">
        <v>125</v>
      </c>
      <c r="B21" s="55">
        <f>(F21*150)/60</f>
        <v>145</v>
      </c>
      <c r="C21" s="63">
        <f>B21/252</f>
        <v>0.57539682539682535</v>
      </c>
      <c r="D21" s="21">
        <f>C21/7.5</f>
        <v>7.6719576719576715E-2</v>
      </c>
      <c r="F21" s="55">
        <f>SUM('assembly-stations'!$F$4:$F$13)</f>
        <v>58</v>
      </c>
    </row>
    <row r="22" spans="1:6" ht="31.8" thickBot="1" x14ac:dyDescent="0.35">
      <c r="A22" s="22" t="s">
        <v>151</v>
      </c>
      <c r="B22" s="55">
        <f t="shared" ref="B22:B26" si="1">(F22*150)/60</f>
        <v>45</v>
      </c>
      <c r="C22" s="63">
        <f t="shared" ref="C22:C26" si="2">B22/252</f>
        <v>0.17857142857142858</v>
      </c>
      <c r="D22" s="21">
        <f t="shared" ref="D22:D26" si="3">C22/7.5</f>
        <v>2.3809523809523812E-2</v>
      </c>
      <c r="F22" s="53">
        <f>SUM('assembly-stations'!$F$14:$F$15)</f>
        <v>18</v>
      </c>
    </row>
    <row r="23" spans="1:6" ht="63" thickBot="1" x14ac:dyDescent="0.35">
      <c r="A23" s="22" t="s">
        <v>158</v>
      </c>
      <c r="B23" s="55">
        <f t="shared" si="1"/>
        <v>47.5</v>
      </c>
      <c r="C23" s="63">
        <f t="shared" si="2"/>
        <v>0.18849206349206349</v>
      </c>
      <c r="D23" s="21">
        <f t="shared" si="3"/>
        <v>2.5132275132275131E-2</v>
      </c>
      <c r="F23" s="53">
        <f>'assembly-stations'!$F$16+'assembly-stations'!$F$17</f>
        <v>19</v>
      </c>
    </row>
    <row r="24" spans="1:6" ht="31.8" thickBot="1" x14ac:dyDescent="0.35">
      <c r="A24" s="22" t="s">
        <v>165</v>
      </c>
      <c r="B24" s="55">
        <f t="shared" si="1"/>
        <v>7.5</v>
      </c>
      <c r="C24" s="63">
        <f t="shared" si="2"/>
        <v>2.976190476190476E-2</v>
      </c>
      <c r="D24" s="21">
        <f t="shared" si="3"/>
        <v>3.968253968253968E-3</v>
      </c>
      <c r="F24" s="53">
        <f>'assembly-stations'!$F$18</f>
        <v>3</v>
      </c>
    </row>
    <row r="25" spans="1:6" ht="31.8" thickBot="1" x14ac:dyDescent="0.35">
      <c r="A25" s="17" t="s">
        <v>169</v>
      </c>
      <c r="B25" s="55">
        <f t="shared" si="1"/>
        <v>17.5</v>
      </c>
      <c r="C25" s="63">
        <f t="shared" si="2"/>
        <v>6.9444444444444448E-2</v>
      </c>
      <c r="D25" s="21">
        <f t="shared" si="3"/>
        <v>9.2592592592592605E-3</v>
      </c>
      <c r="F25" s="28">
        <f>SUM('assembly-stations'!$F$19:$F$21)</f>
        <v>7</v>
      </c>
    </row>
    <row r="26" spans="1:6" ht="31.8" thickBot="1" x14ac:dyDescent="0.35">
      <c r="A26" s="22" t="s">
        <v>179</v>
      </c>
      <c r="B26" s="55">
        <f t="shared" si="1"/>
        <v>5</v>
      </c>
      <c r="C26" s="63">
        <f t="shared" si="2"/>
        <v>1.984126984126984E-2</v>
      </c>
      <c r="D26" s="21">
        <f t="shared" si="3"/>
        <v>2.6455026455026454E-3</v>
      </c>
      <c r="F26" s="53">
        <f>'assembly-stations'!$F$22</f>
        <v>2</v>
      </c>
    </row>
    <row r="27" spans="1:6" ht="15.6" x14ac:dyDescent="0.3">
      <c r="A27" s="56"/>
      <c r="C27" s="64">
        <f>SUM(C21:C26)</f>
        <v>1.0615079365079365</v>
      </c>
      <c r="D27" s="58">
        <f>SUM(D21:D26)</f>
        <v>0.14153439153439151</v>
      </c>
    </row>
    <row r="29" spans="1:6" ht="36.6" x14ac:dyDescent="0.7">
      <c r="A29" s="48" t="s">
        <v>183</v>
      </c>
    </row>
    <row r="30" spans="1:6" x14ac:dyDescent="0.3">
      <c r="A30" t="s">
        <v>190</v>
      </c>
      <c r="B30" s="61">
        <f>_xlfn.CEILING.MATH(C27+D14)</f>
        <v>17</v>
      </c>
      <c r="C30">
        <f>252*B30</f>
        <v>4284</v>
      </c>
      <c r="D30" s="65"/>
    </row>
    <row r="31" spans="1:6" x14ac:dyDescent="0.3">
      <c r="A31" t="s">
        <v>191</v>
      </c>
      <c r="B31" s="61">
        <f>_xlfn.CEILING.MATH(D27+E14)</f>
        <v>3</v>
      </c>
      <c r="C31">
        <f>252*B31*7.5</f>
        <v>5670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BBE11-0677-4B41-9774-F63CAC91108D}">
  <dimension ref="A1:K79"/>
  <sheetViews>
    <sheetView topLeftCell="A46" zoomScaleNormal="100" workbookViewId="0">
      <selection activeCell="F50" sqref="F50"/>
    </sheetView>
  </sheetViews>
  <sheetFormatPr defaultRowHeight="14.4" x14ac:dyDescent="0.3"/>
  <cols>
    <col min="2" max="2" width="19.44140625" customWidth="1"/>
    <col min="3" max="4" width="27.5546875" customWidth="1"/>
    <col min="5" max="5" width="23" customWidth="1"/>
    <col min="6" max="6" width="18.88671875" customWidth="1"/>
    <col min="7" max="7" width="12.21875" customWidth="1"/>
    <col min="8" max="8" width="8.88671875" customWidth="1"/>
    <col min="16" max="16" width="8.88671875" customWidth="1"/>
  </cols>
  <sheetData>
    <row r="1" spans="1:11" ht="36.6" x14ac:dyDescent="0.7">
      <c r="A1" s="48" t="s">
        <v>99</v>
      </c>
    </row>
    <row r="2" spans="1:11" ht="15" thickBot="1" x14ac:dyDescent="0.35"/>
    <row r="3" spans="1:11" ht="63" thickBot="1" x14ac:dyDescent="0.35">
      <c r="A3" s="14" t="s">
        <v>29</v>
      </c>
      <c r="B3" s="14" t="s">
        <v>30</v>
      </c>
      <c r="C3" s="14" t="s">
        <v>56</v>
      </c>
      <c r="D3" s="14" t="s">
        <v>57</v>
      </c>
      <c r="E3" s="29" t="s">
        <v>78</v>
      </c>
      <c r="F3" s="29" t="s">
        <v>79</v>
      </c>
      <c r="G3" s="29" t="s">
        <v>98</v>
      </c>
      <c r="K3" t="s">
        <v>77</v>
      </c>
    </row>
    <row r="4" spans="1:11" ht="31.8" thickBot="1" x14ac:dyDescent="0.35">
      <c r="A4" s="25">
        <v>1</v>
      </c>
      <c r="B4" s="31" t="s">
        <v>42</v>
      </c>
      <c r="C4" s="32" t="s">
        <v>58</v>
      </c>
      <c r="D4" s="41">
        <v>2</v>
      </c>
      <c r="E4" s="41">
        <f>SUM(D4:D9)</f>
        <v>102</v>
      </c>
      <c r="F4" s="41">
        <f>D10</f>
        <v>15</v>
      </c>
      <c r="G4" s="41">
        <f>E4+F4</f>
        <v>117</v>
      </c>
      <c r="H4" s="17"/>
    </row>
    <row r="5" spans="1:11" ht="16.2" thickBot="1" x14ac:dyDescent="0.35">
      <c r="A5" s="25"/>
      <c r="B5" s="31"/>
      <c r="C5" s="32" t="s">
        <v>59</v>
      </c>
      <c r="D5" s="41">
        <v>10</v>
      </c>
      <c r="E5" s="18"/>
      <c r="F5" s="18"/>
      <c r="G5" s="18"/>
      <c r="H5" s="17"/>
    </row>
    <row r="6" spans="1:11" ht="16.2" thickBot="1" x14ac:dyDescent="0.35">
      <c r="A6" s="25"/>
      <c r="B6" s="31"/>
      <c r="C6" s="32" t="s">
        <v>48</v>
      </c>
      <c r="D6" s="41">
        <v>40</v>
      </c>
      <c r="E6" s="18"/>
      <c r="F6" s="18"/>
      <c r="G6" s="18"/>
      <c r="H6" s="17"/>
    </row>
    <row r="7" spans="1:11" ht="16.2" thickBot="1" x14ac:dyDescent="0.35">
      <c r="A7" s="25"/>
      <c r="B7" s="31"/>
      <c r="C7" s="32" t="s">
        <v>60</v>
      </c>
      <c r="D7" s="41">
        <v>10</v>
      </c>
      <c r="E7" s="18"/>
      <c r="F7" s="18"/>
      <c r="G7" s="18"/>
      <c r="H7" s="17"/>
    </row>
    <row r="8" spans="1:11" ht="16.2" thickBot="1" x14ac:dyDescent="0.35">
      <c r="A8" s="25"/>
      <c r="B8" s="31"/>
      <c r="C8" s="32" t="s">
        <v>61</v>
      </c>
      <c r="D8" s="41">
        <v>20</v>
      </c>
      <c r="E8" s="18"/>
      <c r="F8" s="18"/>
      <c r="G8" s="18"/>
      <c r="H8" s="17"/>
    </row>
    <row r="9" spans="1:11" ht="16.2" thickBot="1" x14ac:dyDescent="0.35">
      <c r="A9" s="25"/>
      <c r="B9" s="31"/>
      <c r="C9" s="32" t="s">
        <v>62</v>
      </c>
      <c r="D9" s="41">
        <v>20</v>
      </c>
      <c r="E9" s="18"/>
      <c r="F9" s="18"/>
      <c r="G9" s="18"/>
      <c r="H9" s="17"/>
    </row>
    <row r="10" spans="1:11" ht="16.2" thickBot="1" x14ac:dyDescent="0.35">
      <c r="A10" s="25"/>
      <c r="B10" s="31"/>
      <c r="C10" s="32" t="s">
        <v>80</v>
      </c>
      <c r="D10" s="41">
        <v>15</v>
      </c>
      <c r="E10" s="18"/>
      <c r="F10" s="18"/>
      <c r="G10" s="18"/>
      <c r="H10" s="17"/>
    </row>
    <row r="11" spans="1:11" ht="16.2" thickBot="1" x14ac:dyDescent="0.35">
      <c r="A11" s="14">
        <v>2</v>
      </c>
      <c r="B11" s="16" t="s">
        <v>31</v>
      </c>
      <c r="C11" s="33" t="s">
        <v>50</v>
      </c>
      <c r="D11" s="40">
        <v>193</v>
      </c>
      <c r="E11" s="41">
        <f>SUM(D11)</f>
        <v>193</v>
      </c>
      <c r="F11" s="41">
        <f>D12</f>
        <v>2</v>
      </c>
      <c r="G11" s="41">
        <f>E11+F11</f>
        <v>195</v>
      </c>
      <c r="H11" s="22"/>
      <c r="K11" t="s">
        <v>82</v>
      </c>
    </row>
    <row r="12" spans="1:11" ht="16.2" thickBot="1" x14ac:dyDescent="0.35">
      <c r="A12" s="26"/>
      <c r="B12" s="35"/>
      <c r="C12" s="33" t="s">
        <v>63</v>
      </c>
      <c r="D12" s="40">
        <v>2</v>
      </c>
      <c r="E12" s="30"/>
      <c r="F12" s="30"/>
      <c r="G12" s="30"/>
      <c r="H12" s="22"/>
    </row>
    <row r="13" spans="1:11" ht="16.2" thickBot="1" x14ac:dyDescent="0.35">
      <c r="A13" s="25">
        <v>3</v>
      </c>
      <c r="B13" s="31" t="s">
        <v>32</v>
      </c>
      <c r="C13" s="34" t="s">
        <v>50</v>
      </c>
      <c r="D13" s="41">
        <v>202</v>
      </c>
      <c r="E13" s="41">
        <f>SUM(D13)</f>
        <v>202</v>
      </c>
      <c r="F13" s="41">
        <f>D14</f>
        <v>5</v>
      </c>
      <c r="G13" s="41">
        <f>E13+F13</f>
        <v>207</v>
      </c>
      <c r="H13" s="17"/>
      <c r="K13" t="s">
        <v>81</v>
      </c>
    </row>
    <row r="14" spans="1:11" ht="16.2" thickBot="1" x14ac:dyDescent="0.35">
      <c r="A14" s="25"/>
      <c r="B14" s="31"/>
      <c r="C14" s="34" t="s">
        <v>63</v>
      </c>
      <c r="D14" s="41">
        <v>5</v>
      </c>
      <c r="E14" s="27"/>
      <c r="F14" s="27"/>
      <c r="G14" s="27"/>
      <c r="H14" s="17"/>
    </row>
    <row r="15" spans="1:11" ht="16.2" thickBot="1" x14ac:dyDescent="0.35">
      <c r="A15" s="26">
        <v>4</v>
      </c>
      <c r="B15" s="16" t="s">
        <v>33</v>
      </c>
      <c r="C15" s="33" t="s">
        <v>83</v>
      </c>
      <c r="D15" s="40">
        <v>5</v>
      </c>
      <c r="E15" s="46">
        <f>D16+D18+D20+D22</f>
        <v>30</v>
      </c>
      <c r="F15" s="46">
        <f>D15+D17+D19+D21</f>
        <v>16</v>
      </c>
      <c r="G15" s="41">
        <f>E15+F15</f>
        <v>46</v>
      </c>
      <c r="H15" s="22"/>
    </row>
    <row r="16" spans="1:11" ht="16.2" thickBot="1" x14ac:dyDescent="0.35">
      <c r="A16" s="26"/>
      <c r="B16" s="35"/>
      <c r="C16" s="33" t="s">
        <v>64</v>
      </c>
      <c r="D16" s="40">
        <v>6</v>
      </c>
      <c r="E16" s="24"/>
      <c r="F16" s="24"/>
      <c r="G16" s="24"/>
      <c r="H16" s="22"/>
    </row>
    <row r="17" spans="1:8" ht="16.2" thickBot="1" x14ac:dyDescent="0.35">
      <c r="A17" s="26"/>
      <c r="B17" s="35"/>
      <c r="C17" s="33" t="s">
        <v>66</v>
      </c>
      <c r="D17" s="40">
        <v>3</v>
      </c>
      <c r="E17" s="24"/>
      <c r="F17" s="24"/>
      <c r="G17" s="24"/>
      <c r="H17" s="22"/>
    </row>
    <row r="18" spans="1:8" ht="16.2" thickBot="1" x14ac:dyDescent="0.35">
      <c r="A18" s="26"/>
      <c r="B18" s="35"/>
      <c r="C18" s="33" t="s">
        <v>65</v>
      </c>
      <c r="D18" s="40">
        <v>18</v>
      </c>
      <c r="E18" s="24"/>
      <c r="F18" s="24"/>
      <c r="G18" s="24"/>
      <c r="H18" s="22"/>
    </row>
    <row r="19" spans="1:8" ht="16.2" thickBot="1" x14ac:dyDescent="0.35">
      <c r="A19" s="26"/>
      <c r="B19" s="35"/>
      <c r="C19" s="33" t="s">
        <v>67</v>
      </c>
      <c r="D19" s="40">
        <v>4</v>
      </c>
      <c r="E19" s="24"/>
      <c r="F19" s="24"/>
      <c r="G19" s="24"/>
      <c r="H19" s="22"/>
    </row>
    <row r="20" spans="1:8" ht="16.2" thickBot="1" x14ac:dyDescent="0.35">
      <c r="A20" s="26"/>
      <c r="B20" s="35"/>
      <c r="C20" s="33" t="s">
        <v>68</v>
      </c>
      <c r="D20" s="40">
        <v>3</v>
      </c>
      <c r="E20" s="24"/>
      <c r="F20" s="24"/>
      <c r="G20" s="24"/>
      <c r="H20" s="22"/>
    </row>
    <row r="21" spans="1:8" ht="16.2" thickBot="1" x14ac:dyDescent="0.35">
      <c r="A21" s="26"/>
      <c r="B21" s="35"/>
      <c r="C21" s="33" t="s">
        <v>67</v>
      </c>
      <c r="D21" s="40">
        <v>4</v>
      </c>
      <c r="E21" s="24"/>
      <c r="F21" s="24"/>
      <c r="G21" s="24"/>
      <c r="H21" s="22"/>
    </row>
    <row r="22" spans="1:8" ht="16.2" thickBot="1" x14ac:dyDescent="0.35">
      <c r="A22" s="26"/>
      <c r="B22" s="35"/>
      <c r="C22" s="33" t="s">
        <v>68</v>
      </c>
      <c r="D22" s="40">
        <v>3</v>
      </c>
      <c r="E22" s="24"/>
      <c r="F22" s="24"/>
      <c r="G22" s="24"/>
      <c r="H22" s="22"/>
    </row>
    <row r="23" spans="1:8" ht="31.8" thickBot="1" x14ac:dyDescent="0.35">
      <c r="A23" s="25">
        <v>5</v>
      </c>
      <c r="B23" s="31" t="s">
        <v>34</v>
      </c>
      <c r="C23" s="34" t="s">
        <v>52</v>
      </c>
      <c r="D23" s="41"/>
      <c r="E23" s="28">
        <v>35</v>
      </c>
      <c r="F23" s="28">
        <v>10</v>
      </c>
      <c r="G23" s="41">
        <f>E23+F23</f>
        <v>45</v>
      </c>
      <c r="H23" s="17"/>
    </row>
    <row r="24" spans="1:8" ht="31.8" thickBot="1" x14ac:dyDescent="0.35">
      <c r="A24" s="26">
        <v>6</v>
      </c>
      <c r="B24" s="16" t="s">
        <v>35</v>
      </c>
      <c r="C24" s="33" t="s">
        <v>52</v>
      </c>
      <c r="D24" s="40"/>
      <c r="E24" s="24">
        <v>60</v>
      </c>
      <c r="F24" s="24">
        <v>15</v>
      </c>
      <c r="G24" s="41">
        <f>E24+F24</f>
        <v>75</v>
      </c>
      <c r="H24" s="22"/>
    </row>
    <row r="25" spans="1:8" ht="16.2" thickBot="1" x14ac:dyDescent="0.35">
      <c r="A25" s="25">
        <v>7</v>
      </c>
      <c r="B25" s="31" t="s">
        <v>36</v>
      </c>
      <c r="C25" s="34" t="s">
        <v>83</v>
      </c>
      <c r="D25" s="41">
        <v>10</v>
      </c>
      <c r="E25" s="47">
        <f>D26+D29+D31+D32</f>
        <v>74</v>
      </c>
      <c r="F25" s="47">
        <f>D25+D27+D28+D30</f>
        <v>60</v>
      </c>
      <c r="G25" s="41">
        <f>E25+F25</f>
        <v>134</v>
      </c>
      <c r="H25" s="17"/>
    </row>
    <row r="26" spans="1:8" ht="16.2" thickBot="1" x14ac:dyDescent="0.35">
      <c r="A26" s="25"/>
      <c r="B26" s="31"/>
      <c r="C26" s="34" t="s">
        <v>89</v>
      </c>
      <c r="D26" s="41">
        <v>2</v>
      </c>
      <c r="E26" s="27"/>
      <c r="F26" s="27"/>
      <c r="G26" s="27"/>
      <c r="H26" s="17"/>
    </row>
    <row r="27" spans="1:8" ht="16.2" thickBot="1" x14ac:dyDescent="0.35">
      <c r="A27" s="25"/>
      <c r="B27" s="31"/>
      <c r="C27" s="34" t="s">
        <v>90</v>
      </c>
      <c r="D27" s="41">
        <v>5</v>
      </c>
      <c r="E27" s="27"/>
      <c r="F27" s="27"/>
      <c r="G27" s="27"/>
      <c r="H27" s="17"/>
    </row>
    <row r="28" spans="1:8" ht="16.2" thickBot="1" x14ac:dyDescent="0.35">
      <c r="A28" s="25"/>
      <c r="B28" s="31"/>
      <c r="C28" s="34" t="s">
        <v>95</v>
      </c>
      <c r="D28" s="41">
        <v>25</v>
      </c>
      <c r="E28" s="27"/>
      <c r="F28" s="27"/>
      <c r="G28" s="27"/>
      <c r="H28" s="17"/>
    </row>
    <row r="29" spans="1:8" ht="16.2" thickBot="1" x14ac:dyDescent="0.35">
      <c r="A29" s="25"/>
      <c r="B29" s="31"/>
      <c r="C29" s="34" t="s">
        <v>92</v>
      </c>
      <c r="D29" s="41">
        <v>40</v>
      </c>
      <c r="E29" s="27"/>
      <c r="F29" s="27"/>
      <c r="G29" s="27"/>
      <c r="H29" s="17"/>
    </row>
    <row r="30" spans="1:8" ht="16.2" thickBot="1" x14ac:dyDescent="0.35">
      <c r="A30" s="25"/>
      <c r="B30" s="31"/>
      <c r="C30" s="34" t="s">
        <v>91</v>
      </c>
      <c r="D30" s="41">
        <v>20</v>
      </c>
      <c r="E30" s="27"/>
      <c r="F30" s="27"/>
      <c r="G30" s="27"/>
      <c r="H30" s="17"/>
    </row>
    <row r="31" spans="1:8" ht="16.2" thickBot="1" x14ac:dyDescent="0.35">
      <c r="A31" s="25"/>
      <c r="B31" s="31"/>
      <c r="C31" s="34" t="s">
        <v>93</v>
      </c>
      <c r="D31" s="41">
        <v>2</v>
      </c>
      <c r="E31" s="27"/>
      <c r="F31" s="27"/>
      <c r="G31" s="27"/>
      <c r="H31" s="17"/>
    </row>
    <row r="32" spans="1:8" ht="16.2" thickBot="1" x14ac:dyDescent="0.35">
      <c r="A32" s="25"/>
      <c r="B32" s="31"/>
      <c r="C32" s="34" t="s">
        <v>94</v>
      </c>
      <c r="D32" s="41">
        <v>30</v>
      </c>
      <c r="E32" s="27"/>
      <c r="F32" s="27"/>
      <c r="G32" s="27"/>
      <c r="H32" s="17"/>
    </row>
    <row r="33" spans="1:8" ht="16.2" thickBot="1" x14ac:dyDescent="0.35">
      <c r="A33" s="26">
        <v>8</v>
      </c>
      <c r="B33" s="16" t="s">
        <v>37</v>
      </c>
      <c r="C33" s="33" t="s">
        <v>84</v>
      </c>
      <c r="D33" s="40">
        <v>10</v>
      </c>
      <c r="E33" s="46">
        <f>D34+D37</f>
        <v>40</v>
      </c>
      <c r="F33" s="46">
        <f>D33+D35+D36</f>
        <v>30</v>
      </c>
      <c r="G33" s="41">
        <f>E33+F33</f>
        <v>70</v>
      </c>
      <c r="H33" s="22"/>
    </row>
    <row r="34" spans="1:8" ht="16.2" thickBot="1" x14ac:dyDescent="0.35">
      <c r="A34" s="26"/>
      <c r="B34" s="35"/>
      <c r="C34" s="33" t="s">
        <v>85</v>
      </c>
      <c r="D34" s="40">
        <v>10</v>
      </c>
      <c r="E34" s="24"/>
      <c r="F34" s="24"/>
      <c r="G34" s="24"/>
      <c r="H34" s="22"/>
    </row>
    <row r="35" spans="1:8" ht="16.2" thickBot="1" x14ac:dyDescent="0.35">
      <c r="A35" s="26"/>
      <c r="B35" s="35"/>
      <c r="C35" s="33" t="s">
        <v>86</v>
      </c>
      <c r="D35" s="40">
        <v>5</v>
      </c>
      <c r="E35" s="24"/>
      <c r="F35" s="24"/>
      <c r="G35" s="24"/>
      <c r="H35" s="22"/>
    </row>
    <row r="36" spans="1:8" ht="16.2" thickBot="1" x14ac:dyDescent="0.35">
      <c r="A36" s="26"/>
      <c r="B36" s="35"/>
      <c r="C36" s="33" t="s">
        <v>87</v>
      </c>
      <c r="D36" s="40">
        <v>15</v>
      </c>
      <c r="E36" s="24"/>
      <c r="F36" s="24"/>
      <c r="G36" s="24"/>
      <c r="H36" s="22"/>
    </row>
    <row r="37" spans="1:8" ht="16.2" thickBot="1" x14ac:dyDescent="0.35">
      <c r="A37" s="26"/>
      <c r="B37" s="35"/>
      <c r="C37" s="33" t="s">
        <v>88</v>
      </c>
      <c r="D37" s="40">
        <v>30</v>
      </c>
      <c r="E37" s="24"/>
      <c r="F37" s="24"/>
      <c r="G37" s="24"/>
      <c r="H37" s="22"/>
    </row>
    <row r="38" spans="1:8" ht="16.2" thickBot="1" x14ac:dyDescent="0.35">
      <c r="A38" s="25">
        <v>9</v>
      </c>
      <c r="B38" s="31" t="s">
        <v>38</v>
      </c>
      <c r="C38" s="34" t="s">
        <v>54</v>
      </c>
      <c r="D38" s="41"/>
      <c r="E38" s="27">
        <v>40</v>
      </c>
      <c r="F38" s="27">
        <v>25</v>
      </c>
      <c r="G38" s="41">
        <f>E38+F38</f>
        <v>65</v>
      </c>
      <c r="H38" s="17"/>
    </row>
    <row r="39" spans="1:8" ht="16.2" thickBot="1" x14ac:dyDescent="0.35">
      <c r="A39" s="26">
        <v>10</v>
      </c>
      <c r="B39" s="16" t="s">
        <v>39</v>
      </c>
      <c r="C39" s="33" t="s">
        <v>54</v>
      </c>
      <c r="D39" s="40"/>
      <c r="E39" s="24">
        <v>20</v>
      </c>
      <c r="F39" s="24">
        <v>10</v>
      </c>
      <c r="G39" s="41">
        <f>E39+F39</f>
        <v>30</v>
      </c>
      <c r="H39" s="22"/>
    </row>
    <row r="40" spans="1:8" ht="16.2" thickBot="1" x14ac:dyDescent="0.35">
      <c r="A40" s="25">
        <v>11</v>
      </c>
      <c r="B40" s="31" t="s">
        <v>40</v>
      </c>
      <c r="C40" s="34" t="s">
        <v>52</v>
      </c>
      <c r="D40" s="41"/>
      <c r="E40" s="27">
        <v>8</v>
      </c>
      <c r="F40" s="27">
        <v>5</v>
      </c>
      <c r="G40" s="41">
        <f>E40+F40</f>
        <v>13</v>
      </c>
      <c r="H40" s="17"/>
    </row>
    <row r="41" spans="1:8" ht="31.8" thickBot="1" x14ac:dyDescent="0.35">
      <c r="A41" s="26">
        <v>12</v>
      </c>
      <c r="B41" s="16" t="s">
        <v>41</v>
      </c>
      <c r="C41" s="33" t="s">
        <v>83</v>
      </c>
      <c r="D41" s="40">
        <v>10</v>
      </c>
      <c r="E41" s="46">
        <f>D42+D43</f>
        <v>10</v>
      </c>
      <c r="F41" s="46">
        <f>D41</f>
        <v>10</v>
      </c>
      <c r="G41" s="41">
        <f>E41+F41</f>
        <v>20</v>
      </c>
      <c r="H41" s="22"/>
    </row>
    <row r="42" spans="1:8" ht="16.2" thickBot="1" x14ac:dyDescent="0.35">
      <c r="A42" s="26"/>
      <c r="B42" s="35"/>
      <c r="C42" s="33" t="s">
        <v>60</v>
      </c>
      <c r="D42" s="40">
        <v>4</v>
      </c>
      <c r="E42" s="24"/>
      <c r="F42" s="24"/>
      <c r="G42" s="24"/>
      <c r="H42" s="35"/>
    </row>
    <row r="43" spans="1:8" ht="16.2" thickBot="1" x14ac:dyDescent="0.35">
      <c r="A43" s="26"/>
      <c r="B43" s="35"/>
      <c r="C43" s="33" t="s">
        <v>96</v>
      </c>
      <c r="D43" s="40">
        <v>6</v>
      </c>
      <c r="E43" s="24"/>
      <c r="F43" s="24"/>
      <c r="G43" s="24"/>
      <c r="H43" s="35"/>
    </row>
    <row r="44" spans="1:8" ht="31.8" thickBot="1" x14ac:dyDescent="0.35">
      <c r="A44" s="25">
        <v>13</v>
      </c>
      <c r="B44" s="31" t="s">
        <v>43</v>
      </c>
      <c r="C44" s="34" t="s">
        <v>55</v>
      </c>
      <c r="D44" s="41"/>
      <c r="E44" s="27">
        <v>10</v>
      </c>
      <c r="F44" s="27">
        <v>5</v>
      </c>
      <c r="G44" s="41">
        <f>E44+F44</f>
        <v>15</v>
      </c>
      <c r="H44" s="27"/>
    </row>
    <row r="47" spans="1:8" ht="37.200000000000003" thickBot="1" x14ac:dyDescent="0.75">
      <c r="A47" s="48" t="s">
        <v>117</v>
      </c>
    </row>
    <row r="48" spans="1:8" ht="78.599999999999994" thickBot="1" x14ac:dyDescent="0.35">
      <c r="C48" s="14" t="s">
        <v>119</v>
      </c>
      <c r="D48" s="14" t="s">
        <v>97</v>
      </c>
      <c r="E48" s="14" t="s">
        <v>189</v>
      </c>
      <c r="F48" s="14" t="s">
        <v>188</v>
      </c>
    </row>
    <row r="49" spans="1:6" ht="16.2" thickBot="1" x14ac:dyDescent="0.35">
      <c r="B49" s="17" t="s">
        <v>17</v>
      </c>
      <c r="C49" s="40">
        <f>D11+D12+D13+D14</f>
        <v>402</v>
      </c>
      <c r="D49" s="40">
        <f>C49*150</f>
        <v>60300</v>
      </c>
      <c r="E49">
        <f t="shared" ref="E49:E60" si="0">C49/60</f>
        <v>6.7</v>
      </c>
      <c r="F49">
        <f t="shared" ref="F49:F60" si="1">D49/60</f>
        <v>1005</v>
      </c>
    </row>
    <row r="50" spans="1:6" ht="31.8" thickBot="1" x14ac:dyDescent="0.35">
      <c r="B50" s="22" t="s">
        <v>18</v>
      </c>
      <c r="C50" s="40">
        <f>G15+D28+D29+D30+D31+D32</f>
        <v>163</v>
      </c>
      <c r="D50" s="40">
        <f t="shared" ref="D50:D60" si="2">C50*150</f>
        <v>24450</v>
      </c>
      <c r="E50">
        <f t="shared" si="0"/>
        <v>2.7166666666666668</v>
      </c>
      <c r="F50">
        <f t="shared" si="1"/>
        <v>407.5</v>
      </c>
    </row>
    <row r="51" spans="1:6" ht="31.8" thickBot="1" x14ac:dyDescent="0.35">
      <c r="B51" s="17" t="s">
        <v>19</v>
      </c>
      <c r="C51" s="40">
        <f>G23+G40+G24</f>
        <v>133</v>
      </c>
      <c r="D51" s="40">
        <f t="shared" si="2"/>
        <v>19950</v>
      </c>
      <c r="E51">
        <f t="shared" si="0"/>
        <v>2.2166666666666668</v>
      </c>
      <c r="F51">
        <f t="shared" si="1"/>
        <v>332.5</v>
      </c>
    </row>
    <row r="52" spans="1:6" ht="31.8" thickBot="1" x14ac:dyDescent="0.35">
      <c r="B52" s="22" t="s">
        <v>20</v>
      </c>
      <c r="C52" s="40">
        <f>G38+G39</f>
        <v>95</v>
      </c>
      <c r="D52" s="40">
        <f t="shared" si="2"/>
        <v>14250</v>
      </c>
      <c r="E52">
        <f t="shared" si="0"/>
        <v>1.5833333333333333</v>
      </c>
      <c r="F52">
        <f t="shared" si="1"/>
        <v>237.5</v>
      </c>
    </row>
    <row r="53" spans="1:6" ht="16.2" thickBot="1" x14ac:dyDescent="0.35">
      <c r="B53" s="17" t="s">
        <v>21</v>
      </c>
      <c r="C53" s="40">
        <f>D25+D26+D27</f>
        <v>17</v>
      </c>
      <c r="D53" s="40">
        <f t="shared" si="2"/>
        <v>2550</v>
      </c>
      <c r="E53">
        <f t="shared" si="0"/>
        <v>0.28333333333333333</v>
      </c>
      <c r="F53">
        <f t="shared" si="1"/>
        <v>42.5</v>
      </c>
    </row>
    <row r="54" spans="1:6" ht="16.2" thickBot="1" x14ac:dyDescent="0.35">
      <c r="B54" s="22" t="s">
        <v>22</v>
      </c>
      <c r="C54" s="40">
        <f>D41+D42</f>
        <v>14</v>
      </c>
      <c r="D54" s="40">
        <f t="shared" si="2"/>
        <v>2100</v>
      </c>
      <c r="E54">
        <f t="shared" si="0"/>
        <v>0.23333333333333334</v>
      </c>
      <c r="F54">
        <f t="shared" si="1"/>
        <v>35</v>
      </c>
    </row>
    <row r="55" spans="1:6" ht="16.2" thickBot="1" x14ac:dyDescent="0.35">
      <c r="B55" s="17" t="s">
        <v>23</v>
      </c>
      <c r="C55" s="40">
        <f>D41+D43</f>
        <v>16</v>
      </c>
      <c r="D55" s="40">
        <f t="shared" si="2"/>
        <v>2400</v>
      </c>
      <c r="E55">
        <f t="shared" si="0"/>
        <v>0.26666666666666666</v>
      </c>
      <c r="F55">
        <f t="shared" si="1"/>
        <v>40</v>
      </c>
    </row>
    <row r="56" spans="1:6" ht="16.2" thickBot="1" x14ac:dyDescent="0.35">
      <c r="B56" s="22" t="s">
        <v>24</v>
      </c>
      <c r="C56" s="40">
        <f>D33+D34+D35</f>
        <v>25</v>
      </c>
      <c r="D56" s="40">
        <f t="shared" si="2"/>
        <v>3750</v>
      </c>
      <c r="E56">
        <f t="shared" si="0"/>
        <v>0.41666666666666669</v>
      </c>
      <c r="F56">
        <f t="shared" si="1"/>
        <v>62.5</v>
      </c>
    </row>
    <row r="57" spans="1:6" ht="16.2" thickBot="1" x14ac:dyDescent="0.35">
      <c r="B57" s="17" t="s">
        <v>25</v>
      </c>
      <c r="C57" s="40">
        <f>D36+D37+E76+E78</f>
        <v>77</v>
      </c>
      <c r="D57" s="40">
        <f t="shared" si="2"/>
        <v>11550</v>
      </c>
      <c r="E57">
        <f t="shared" si="0"/>
        <v>1.2833333333333334</v>
      </c>
      <c r="F57">
        <f t="shared" si="1"/>
        <v>192.5</v>
      </c>
    </row>
    <row r="58" spans="1:6" ht="31.8" thickBot="1" x14ac:dyDescent="0.35">
      <c r="B58" s="22" t="s">
        <v>26</v>
      </c>
      <c r="C58" s="40">
        <f>D69+D70+D71</f>
        <v>11</v>
      </c>
      <c r="D58" s="40">
        <f t="shared" si="2"/>
        <v>1650</v>
      </c>
      <c r="E58">
        <f t="shared" si="0"/>
        <v>0.18333333333333332</v>
      </c>
      <c r="F58">
        <f t="shared" si="1"/>
        <v>27.5</v>
      </c>
    </row>
    <row r="59" spans="1:6" ht="16.2" thickBot="1" x14ac:dyDescent="0.35">
      <c r="B59" s="17" t="s">
        <v>27</v>
      </c>
      <c r="C59" s="40">
        <f>D72+D73+D74</f>
        <v>20.5</v>
      </c>
      <c r="D59" s="40">
        <f t="shared" si="2"/>
        <v>3075</v>
      </c>
      <c r="E59">
        <f t="shared" si="0"/>
        <v>0.34166666666666667</v>
      </c>
      <c r="F59">
        <f t="shared" si="1"/>
        <v>51.25</v>
      </c>
    </row>
    <row r="60" spans="1:6" ht="31.8" thickBot="1" x14ac:dyDescent="0.35">
      <c r="B60" s="22" t="s">
        <v>28</v>
      </c>
      <c r="C60" s="40">
        <f>G44+D75</f>
        <v>25</v>
      </c>
      <c r="D60" s="40">
        <f t="shared" si="2"/>
        <v>3750</v>
      </c>
      <c r="E60">
        <f t="shared" si="0"/>
        <v>0.41666666666666669</v>
      </c>
      <c r="F60">
        <f t="shared" si="1"/>
        <v>62.5</v>
      </c>
    </row>
    <row r="61" spans="1:6" ht="15.6" x14ac:dyDescent="0.3">
      <c r="B61" s="29"/>
      <c r="C61" s="49"/>
      <c r="D61" s="49"/>
      <c r="E61">
        <f>SUM(E49:E60)</f>
        <v>16.641666666666669</v>
      </c>
    </row>
    <row r="62" spans="1:6" ht="15.6" x14ac:dyDescent="0.3">
      <c r="B62" s="29"/>
      <c r="C62" s="49"/>
      <c r="D62" s="49"/>
    </row>
    <row r="64" spans="1:6" ht="37.200000000000003" thickBot="1" x14ac:dyDescent="0.75">
      <c r="A64" s="48" t="s">
        <v>100</v>
      </c>
    </row>
    <row r="65" spans="1:6" ht="31.8" thickBot="1" x14ac:dyDescent="0.35">
      <c r="A65" s="14" t="s">
        <v>29</v>
      </c>
      <c r="B65" s="14" t="s">
        <v>30</v>
      </c>
      <c r="C65" s="14" t="s">
        <v>56</v>
      </c>
      <c r="D65" s="14" t="s">
        <v>57</v>
      </c>
      <c r="E65" s="29" t="s">
        <v>98</v>
      </c>
      <c r="F65" s="29"/>
    </row>
    <row r="66" spans="1:6" ht="31.8" thickBot="1" x14ac:dyDescent="0.35">
      <c r="A66" s="25" t="s">
        <v>101</v>
      </c>
      <c r="B66" s="31" t="s">
        <v>42</v>
      </c>
      <c r="C66" s="32" t="s">
        <v>106</v>
      </c>
      <c r="D66" s="41">
        <v>2</v>
      </c>
      <c r="E66" s="41">
        <f>SUM(D66:D75)</f>
        <v>50</v>
      </c>
      <c r="F66" s="41"/>
    </row>
    <row r="67" spans="1:6" ht="16.2" thickBot="1" x14ac:dyDescent="0.35">
      <c r="A67" s="25"/>
      <c r="B67" s="31"/>
      <c r="C67" s="32" t="s">
        <v>107</v>
      </c>
      <c r="D67" s="41">
        <v>5</v>
      </c>
      <c r="E67" s="41"/>
      <c r="F67" s="41"/>
    </row>
    <row r="68" spans="1:6" ht="16.2" thickBot="1" x14ac:dyDescent="0.35">
      <c r="A68" s="25"/>
      <c r="B68" s="31"/>
      <c r="C68" s="32" t="s">
        <v>108</v>
      </c>
      <c r="D68" s="41">
        <v>1.5</v>
      </c>
      <c r="E68" s="41"/>
      <c r="F68" s="41"/>
    </row>
    <row r="69" spans="1:6" ht="16.2" thickBot="1" x14ac:dyDescent="0.35">
      <c r="A69" s="25"/>
      <c r="B69" s="31"/>
      <c r="C69" s="32" t="s">
        <v>109</v>
      </c>
      <c r="D69" s="41">
        <v>2.5</v>
      </c>
      <c r="E69" s="41"/>
      <c r="F69" s="41"/>
    </row>
    <row r="70" spans="1:6" ht="16.2" thickBot="1" x14ac:dyDescent="0.35">
      <c r="A70" s="25"/>
      <c r="B70" s="31"/>
      <c r="C70" s="32" t="s">
        <v>110</v>
      </c>
      <c r="D70" s="41">
        <v>7</v>
      </c>
      <c r="E70" s="41"/>
      <c r="F70" s="41"/>
    </row>
    <row r="71" spans="1:6" ht="16.2" thickBot="1" x14ac:dyDescent="0.35">
      <c r="A71" s="25"/>
      <c r="B71" s="31"/>
      <c r="C71" s="32" t="s">
        <v>111</v>
      </c>
      <c r="D71" s="41">
        <v>1.5</v>
      </c>
      <c r="E71" s="41"/>
      <c r="F71" s="41"/>
    </row>
    <row r="72" spans="1:6" ht="16.2" thickBot="1" x14ac:dyDescent="0.35">
      <c r="A72" s="25"/>
      <c r="B72" s="31"/>
      <c r="C72" s="32" t="s">
        <v>112</v>
      </c>
      <c r="D72" s="41">
        <v>1</v>
      </c>
      <c r="E72" s="41"/>
      <c r="F72" s="41"/>
    </row>
    <row r="73" spans="1:6" ht="16.2" thickBot="1" x14ac:dyDescent="0.35">
      <c r="A73" s="25"/>
      <c r="B73" s="31"/>
      <c r="C73" s="32" t="s">
        <v>113</v>
      </c>
      <c r="D73" s="41">
        <v>15</v>
      </c>
      <c r="E73" s="41"/>
      <c r="F73" s="41"/>
    </row>
    <row r="74" spans="1:6" ht="31.8" thickBot="1" x14ac:dyDescent="0.35">
      <c r="A74" s="25"/>
      <c r="B74" s="31"/>
      <c r="C74" s="32" t="s">
        <v>114</v>
      </c>
      <c r="D74" s="41">
        <v>4.5</v>
      </c>
      <c r="E74" s="41"/>
      <c r="F74" s="41"/>
    </row>
    <row r="75" spans="1:6" ht="31.8" thickBot="1" x14ac:dyDescent="0.35">
      <c r="A75" s="25"/>
      <c r="B75" s="31"/>
      <c r="C75" s="32" t="s">
        <v>116</v>
      </c>
      <c r="D75" s="41">
        <v>10</v>
      </c>
      <c r="E75" s="41"/>
      <c r="F75" s="41"/>
    </row>
    <row r="76" spans="1:6" ht="31.8" thickBot="1" x14ac:dyDescent="0.35">
      <c r="A76" s="26" t="s">
        <v>102</v>
      </c>
      <c r="B76" s="16" t="s">
        <v>103</v>
      </c>
      <c r="C76" s="33" t="s">
        <v>83</v>
      </c>
      <c r="D76" s="40">
        <v>8</v>
      </c>
      <c r="E76" s="40">
        <f>SUM(D76:D77)</f>
        <v>14</v>
      </c>
      <c r="F76" s="46"/>
    </row>
    <row r="77" spans="1:6" ht="16.2" thickBot="1" x14ac:dyDescent="0.35">
      <c r="A77" s="26"/>
      <c r="B77" s="35"/>
      <c r="C77" s="33" t="s">
        <v>115</v>
      </c>
      <c r="D77" s="40">
        <v>6</v>
      </c>
      <c r="E77" s="40"/>
      <c r="F77" s="46"/>
    </row>
    <row r="78" spans="1:6" ht="16.2" thickBot="1" x14ac:dyDescent="0.35">
      <c r="A78" s="31" t="s">
        <v>104</v>
      </c>
      <c r="B78" s="31" t="s">
        <v>105</v>
      </c>
      <c r="C78" s="41" t="s">
        <v>83</v>
      </c>
      <c r="D78" s="41">
        <v>8</v>
      </c>
      <c r="E78" s="41">
        <f>SUM(D78:D79)</f>
        <v>18</v>
      </c>
      <c r="F78" s="27"/>
    </row>
    <row r="79" spans="1:6" ht="16.2" thickBot="1" x14ac:dyDescent="0.35">
      <c r="A79" s="31"/>
      <c r="B79" s="31"/>
      <c r="C79" s="41" t="s">
        <v>115</v>
      </c>
      <c r="D79" s="41">
        <v>10</v>
      </c>
      <c r="E79" s="41"/>
      <c r="F79" s="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1EEE5-F282-4D68-B9DB-DC917E7B42A1}">
  <dimension ref="A2:J32"/>
  <sheetViews>
    <sheetView tabSelected="1" topLeftCell="C1" workbookViewId="0">
      <selection activeCell="J4" sqref="J4"/>
    </sheetView>
  </sheetViews>
  <sheetFormatPr defaultRowHeight="14.4" x14ac:dyDescent="0.3"/>
  <cols>
    <col min="1" max="1" width="13.109375" customWidth="1"/>
    <col min="2" max="2" width="14.44140625" customWidth="1"/>
    <col min="3" max="3" width="26.21875" customWidth="1"/>
    <col min="4" max="4" width="25.44140625" customWidth="1"/>
    <col min="9" max="9" width="11" customWidth="1"/>
  </cols>
  <sheetData>
    <row r="2" spans="1:10" ht="15" thickBot="1" x14ac:dyDescent="0.35"/>
    <row r="3" spans="1:10" ht="47.4" thickBot="1" x14ac:dyDescent="0.35">
      <c r="A3" s="50" t="s">
        <v>120</v>
      </c>
      <c r="B3" s="16" t="s">
        <v>121</v>
      </c>
      <c r="C3" s="16" t="s">
        <v>122</v>
      </c>
      <c r="D3" s="16" t="s">
        <v>123</v>
      </c>
      <c r="E3" s="16" t="s">
        <v>73</v>
      </c>
      <c r="F3" s="16" t="s">
        <v>124</v>
      </c>
      <c r="I3" s="29" t="s">
        <v>184</v>
      </c>
    </row>
    <row r="4" spans="1:10" ht="31.2" x14ac:dyDescent="0.3">
      <c r="A4" s="66" t="s">
        <v>125</v>
      </c>
      <c r="B4" s="69" t="s">
        <v>126</v>
      </c>
      <c r="C4" s="69" t="s">
        <v>127</v>
      </c>
      <c r="D4" s="51" t="s">
        <v>128</v>
      </c>
      <c r="E4" s="69">
        <v>1</v>
      </c>
      <c r="F4" s="69">
        <v>50</v>
      </c>
      <c r="I4" t="s">
        <v>185</v>
      </c>
      <c r="J4">
        <f>$F$23/'takt-time'!B$8</f>
        <v>0.14153439153439154</v>
      </c>
    </row>
    <row r="5" spans="1:10" ht="46.8" x14ac:dyDescent="0.3">
      <c r="A5" s="67"/>
      <c r="B5" s="70"/>
      <c r="C5" s="70"/>
      <c r="D5" s="51" t="s">
        <v>129</v>
      </c>
      <c r="E5" s="70"/>
      <c r="F5" s="70"/>
      <c r="I5" t="s">
        <v>186</v>
      </c>
      <c r="J5">
        <f>$F$23/'takt-time'!C$8</f>
        <v>0.14153439153439154</v>
      </c>
    </row>
    <row r="6" spans="1:10" ht="16.2" thickBot="1" x14ac:dyDescent="0.35">
      <c r="A6" s="68"/>
      <c r="B6" s="71"/>
      <c r="C6" s="71"/>
      <c r="D6" s="28" t="s">
        <v>130</v>
      </c>
      <c r="E6" s="71"/>
      <c r="F6" s="71"/>
      <c r="I6" t="s">
        <v>187</v>
      </c>
      <c r="J6">
        <f>$F$23/'takt-time'!D$8</f>
        <v>0.18871252204585537</v>
      </c>
    </row>
    <row r="7" spans="1:10" ht="47.4" thickBot="1" x14ac:dyDescent="0.35">
      <c r="A7" s="52"/>
      <c r="B7" s="53" t="s">
        <v>131</v>
      </c>
      <c r="C7" s="53" t="s">
        <v>132</v>
      </c>
      <c r="D7" s="53" t="s">
        <v>133</v>
      </c>
      <c r="E7" s="53" t="s">
        <v>134</v>
      </c>
      <c r="F7" s="53">
        <v>1</v>
      </c>
    </row>
    <row r="8" spans="1:10" ht="63" thickBot="1" x14ac:dyDescent="0.35">
      <c r="A8" s="52"/>
      <c r="B8" s="28" t="s">
        <v>135</v>
      </c>
      <c r="C8" s="28" t="s">
        <v>136</v>
      </c>
      <c r="D8" s="28" t="s">
        <v>137</v>
      </c>
      <c r="E8" s="28" t="s">
        <v>134</v>
      </c>
      <c r="F8" s="28">
        <v>1</v>
      </c>
    </row>
    <row r="9" spans="1:10" ht="15.6" x14ac:dyDescent="0.3">
      <c r="A9" s="72"/>
      <c r="B9" s="54" t="s">
        <v>138</v>
      </c>
      <c r="C9" s="74" t="s">
        <v>140</v>
      </c>
      <c r="D9" s="74" t="s">
        <v>141</v>
      </c>
      <c r="E9" s="74" t="s">
        <v>134</v>
      </c>
      <c r="F9" s="74">
        <v>1</v>
      </c>
    </row>
    <row r="10" spans="1:10" ht="31.8" thickBot="1" x14ac:dyDescent="0.35">
      <c r="A10" s="73"/>
      <c r="B10" s="53" t="s">
        <v>139</v>
      </c>
      <c r="C10" s="75"/>
      <c r="D10" s="75"/>
      <c r="E10" s="75"/>
      <c r="F10" s="75"/>
    </row>
    <row r="11" spans="1:10" ht="47.4" thickBot="1" x14ac:dyDescent="0.35">
      <c r="A11" s="52"/>
      <c r="B11" s="28" t="s">
        <v>142</v>
      </c>
      <c r="C11" s="28" t="s">
        <v>143</v>
      </c>
      <c r="D11" s="28" t="s">
        <v>144</v>
      </c>
      <c r="E11" s="28" t="s">
        <v>134</v>
      </c>
      <c r="F11" s="28">
        <v>1</v>
      </c>
    </row>
    <row r="12" spans="1:10" ht="47.4" thickBot="1" x14ac:dyDescent="0.35">
      <c r="A12" s="22"/>
      <c r="B12" s="53" t="s">
        <v>145</v>
      </c>
      <c r="C12" s="53" t="s">
        <v>146</v>
      </c>
      <c r="D12" s="53" t="s">
        <v>147</v>
      </c>
      <c r="E12" s="53" t="s">
        <v>134</v>
      </c>
      <c r="F12" s="53">
        <v>2</v>
      </c>
    </row>
    <row r="13" spans="1:10" ht="78.599999999999994" thickBot="1" x14ac:dyDescent="0.35">
      <c r="A13" s="52"/>
      <c r="B13" s="28" t="s">
        <v>148</v>
      </c>
      <c r="C13" s="28" t="s">
        <v>149</v>
      </c>
      <c r="D13" s="28" t="s">
        <v>150</v>
      </c>
      <c r="E13" s="28" t="s">
        <v>134</v>
      </c>
      <c r="F13" s="28">
        <v>2</v>
      </c>
    </row>
    <row r="14" spans="1:10" ht="47.4" thickBot="1" x14ac:dyDescent="0.35">
      <c r="A14" s="22" t="s">
        <v>151</v>
      </c>
      <c r="B14" s="53" t="s">
        <v>152</v>
      </c>
      <c r="C14" s="53" t="s">
        <v>153</v>
      </c>
      <c r="D14" s="53" t="s">
        <v>154</v>
      </c>
      <c r="E14" s="53">
        <v>1</v>
      </c>
      <c r="F14" s="53">
        <v>14</v>
      </c>
    </row>
    <row r="15" spans="1:10" ht="47.4" thickBot="1" x14ac:dyDescent="0.35">
      <c r="A15" s="52"/>
      <c r="B15" s="28" t="s">
        <v>155</v>
      </c>
      <c r="C15" s="28" t="s">
        <v>156</v>
      </c>
      <c r="D15" s="28" t="s">
        <v>157</v>
      </c>
      <c r="E15" s="28" t="s">
        <v>134</v>
      </c>
      <c r="F15" s="28">
        <v>4</v>
      </c>
    </row>
    <row r="16" spans="1:10" ht="63" thickBot="1" x14ac:dyDescent="0.35">
      <c r="A16" s="22" t="s">
        <v>158</v>
      </c>
      <c r="B16" s="53" t="s">
        <v>159</v>
      </c>
      <c r="C16" s="53" t="s">
        <v>160</v>
      </c>
      <c r="D16" s="53" t="s">
        <v>161</v>
      </c>
      <c r="E16" s="53">
        <v>1</v>
      </c>
      <c r="F16" s="53">
        <v>18</v>
      </c>
    </row>
    <row r="17" spans="1:6" ht="63" thickBot="1" x14ac:dyDescent="0.35">
      <c r="A17" s="52"/>
      <c r="B17" s="28" t="s">
        <v>162</v>
      </c>
      <c r="C17" s="28" t="s">
        <v>163</v>
      </c>
      <c r="D17" s="28" t="s">
        <v>164</v>
      </c>
      <c r="E17" s="28" t="s">
        <v>134</v>
      </c>
      <c r="F17" s="28">
        <v>1</v>
      </c>
    </row>
    <row r="18" spans="1:6" ht="47.4" thickBot="1" x14ac:dyDescent="0.35">
      <c r="A18" s="22" t="s">
        <v>165</v>
      </c>
      <c r="B18" s="53" t="s">
        <v>166</v>
      </c>
      <c r="C18" s="53" t="s">
        <v>167</v>
      </c>
      <c r="D18" s="53" t="s">
        <v>168</v>
      </c>
      <c r="E18" s="53" t="s">
        <v>134</v>
      </c>
      <c r="F18" s="53">
        <v>3</v>
      </c>
    </row>
    <row r="19" spans="1:6" ht="63" thickBot="1" x14ac:dyDescent="0.35">
      <c r="A19" s="17" t="s">
        <v>169</v>
      </c>
      <c r="B19" s="28" t="s">
        <v>170</v>
      </c>
      <c r="C19" s="28" t="s">
        <v>171</v>
      </c>
      <c r="D19" s="28" t="s">
        <v>172</v>
      </c>
      <c r="E19" s="28" t="s">
        <v>134</v>
      </c>
      <c r="F19" s="28">
        <v>1</v>
      </c>
    </row>
    <row r="20" spans="1:6" ht="63" thickBot="1" x14ac:dyDescent="0.35">
      <c r="A20" s="22"/>
      <c r="B20" s="53" t="s">
        <v>173</v>
      </c>
      <c r="C20" s="53" t="s">
        <v>174</v>
      </c>
      <c r="D20" s="53" t="s">
        <v>175</v>
      </c>
      <c r="E20" s="53" t="s">
        <v>134</v>
      </c>
      <c r="F20" s="53">
        <v>4</v>
      </c>
    </row>
    <row r="21" spans="1:6" ht="63" thickBot="1" x14ac:dyDescent="0.35">
      <c r="A21" s="52"/>
      <c r="B21" s="28" t="s">
        <v>176</v>
      </c>
      <c r="C21" s="28" t="s">
        <v>177</v>
      </c>
      <c r="D21" s="28" t="s">
        <v>178</v>
      </c>
      <c r="E21" s="28" t="s">
        <v>134</v>
      </c>
      <c r="F21" s="28">
        <v>2</v>
      </c>
    </row>
    <row r="22" spans="1:6" ht="47.4" thickBot="1" x14ac:dyDescent="0.35">
      <c r="A22" s="22" t="s">
        <v>179</v>
      </c>
      <c r="B22" s="53" t="s">
        <v>180</v>
      </c>
      <c r="C22" s="53" t="s">
        <v>181</v>
      </c>
      <c r="D22" s="53" t="s">
        <v>182</v>
      </c>
      <c r="E22" s="53" t="s">
        <v>134</v>
      </c>
      <c r="F22" s="53">
        <v>2</v>
      </c>
    </row>
    <row r="23" spans="1:6" x14ac:dyDescent="0.3">
      <c r="A23" s="56"/>
      <c r="F23">
        <f>SUM(F4:F22)</f>
        <v>107</v>
      </c>
    </row>
    <row r="24" spans="1:6" x14ac:dyDescent="0.3">
      <c r="A24" s="56"/>
    </row>
    <row r="25" spans="1:6" x14ac:dyDescent="0.3">
      <c r="A25" s="56"/>
    </row>
    <row r="26" spans="1:6" x14ac:dyDescent="0.3">
      <c r="A26" s="56"/>
    </row>
    <row r="27" spans="1:6" x14ac:dyDescent="0.3">
      <c r="A27" s="56"/>
    </row>
    <row r="28" spans="1:6" x14ac:dyDescent="0.3">
      <c r="A28" s="56"/>
    </row>
    <row r="29" spans="1:6" x14ac:dyDescent="0.3">
      <c r="A29" s="56"/>
    </row>
    <row r="30" spans="1:6" x14ac:dyDescent="0.3">
      <c r="A30" s="56"/>
    </row>
    <row r="31" spans="1:6" x14ac:dyDescent="0.3">
      <c r="A31" s="56"/>
    </row>
    <row r="32" spans="1:6" x14ac:dyDescent="0.3">
      <c r="A32" s="56"/>
    </row>
  </sheetData>
  <mergeCells count="10">
    <mergeCell ref="A9:A10"/>
    <mergeCell ref="C9:C10"/>
    <mergeCell ref="D9:D10"/>
    <mergeCell ref="E9:E10"/>
    <mergeCell ref="F9:F10"/>
    <mergeCell ref="A4:A6"/>
    <mergeCell ref="B4:B6"/>
    <mergeCell ref="C4:C6"/>
    <mergeCell ref="E4:E6"/>
    <mergeCell ref="F4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takt-time</vt:lpstr>
      <vt:lpstr>machine-efficiency</vt:lpstr>
      <vt:lpstr>production-time</vt:lpstr>
      <vt:lpstr>machine-allocation</vt:lpstr>
      <vt:lpstr>workforce</vt:lpstr>
      <vt:lpstr>production-time-calc</vt:lpstr>
      <vt:lpstr>assembly-stations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chin cheong</dc:creator>
  <cp:lastModifiedBy>justin chin cheong</cp:lastModifiedBy>
  <dcterms:created xsi:type="dcterms:W3CDTF">2025-12-11T13:56:40Z</dcterms:created>
  <dcterms:modified xsi:type="dcterms:W3CDTF">2026-01-11T14:31:16Z</dcterms:modified>
</cp:coreProperties>
</file>