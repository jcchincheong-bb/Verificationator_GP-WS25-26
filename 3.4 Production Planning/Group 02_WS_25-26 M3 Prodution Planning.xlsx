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3.4 Production Planning\"/>
    </mc:Choice>
  </mc:AlternateContent>
  <xr:revisionPtr revIDLastSave="0" documentId="13_ncr:1_{A602C641-6EF4-454C-9BDF-37AA24F097EA}" xr6:coauthVersionLast="47" xr6:coauthVersionMax="47" xr10:uidLastSave="{00000000-0000-0000-0000-000000000000}"/>
  <bookViews>
    <workbookView xWindow="-108" yWindow="-108" windowWidth="23256" windowHeight="12576" activeTab="3" xr2:uid="{DE72B6C7-421C-4069-887E-620521B1C591}"/>
  </bookViews>
  <sheets>
    <sheet name="takt-time" sheetId="2" r:id="rId1"/>
    <sheet name="machine-efficiency" sheetId="3" r:id="rId2"/>
    <sheet name="production-time" sheetId="4" r:id="rId3"/>
    <sheet name="machine-allocation" sheetId="6" r:id="rId4"/>
    <sheet name="production-time-calc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D11" i="6"/>
  <c r="D12" i="6"/>
  <c r="D13" i="6"/>
  <c r="D2" i="6"/>
  <c r="E10" i="6"/>
  <c r="B3" i="6"/>
  <c r="E3" i="6" s="1"/>
  <c r="B4" i="6"/>
  <c r="E4" i="6" s="1"/>
  <c r="B5" i="6"/>
  <c r="E5" i="6" s="1"/>
  <c r="B6" i="6"/>
  <c r="E6" i="6" s="1"/>
  <c r="B7" i="6"/>
  <c r="E7" i="6" s="1"/>
  <c r="B8" i="6"/>
  <c r="B9" i="6"/>
  <c r="E9" i="6" s="1"/>
  <c r="B10" i="6"/>
  <c r="B11" i="6"/>
  <c r="E11" i="6" s="1"/>
  <c r="B12" i="6"/>
  <c r="E12" i="6" s="1"/>
  <c r="B13" i="6"/>
  <c r="E13" i="6" s="1"/>
  <c r="B2" i="6"/>
  <c r="E2" i="6" s="1"/>
  <c r="L14" i="4"/>
  <c r="L11" i="4"/>
  <c r="L10" i="4"/>
  <c r="L9" i="4"/>
  <c r="L8" i="4"/>
  <c r="L7" i="4"/>
  <c r="L5" i="4"/>
  <c r="L6" i="4"/>
  <c r="L4" i="4"/>
  <c r="L3" i="4"/>
  <c r="C3" i="6"/>
  <c r="C4" i="6"/>
  <c r="C5" i="6"/>
  <c r="C6" i="6"/>
  <c r="C7" i="6"/>
  <c r="C8" i="6"/>
  <c r="E8" i="6" s="1"/>
  <c r="C9" i="6"/>
  <c r="C10" i="6"/>
  <c r="C11" i="6"/>
  <c r="C12" i="6"/>
  <c r="C13" i="6"/>
  <c r="C2" i="6"/>
  <c r="E2" i="5"/>
  <c r="H3" i="4"/>
  <c r="H4" i="4"/>
  <c r="H9" i="4"/>
  <c r="H10" i="4"/>
  <c r="H11" i="4"/>
  <c r="H12" i="4"/>
  <c r="F3" i="4"/>
  <c r="F4" i="4"/>
  <c r="F5" i="4"/>
  <c r="H5" i="4" s="1"/>
  <c r="F6" i="4"/>
  <c r="H6" i="4" s="1"/>
  <c r="F7" i="4"/>
  <c r="H7" i="4" s="1"/>
  <c r="F8" i="4"/>
  <c r="H8" i="4" s="1"/>
  <c r="F9" i="4"/>
  <c r="F10" i="4"/>
  <c r="F11" i="4"/>
  <c r="F12" i="4"/>
  <c r="F13" i="4"/>
  <c r="H13" i="4" s="1"/>
  <c r="F14" i="4"/>
  <c r="H14" i="4" s="1"/>
  <c r="F2" i="4"/>
  <c r="H2" i="4" s="1"/>
  <c r="E4" i="3"/>
  <c r="E5" i="3"/>
  <c r="E10" i="3"/>
  <c r="E11" i="3"/>
  <c r="E12" i="3"/>
  <c r="E13" i="3"/>
  <c r="E2" i="3"/>
  <c r="D3" i="3"/>
  <c r="E3" i="3" s="1"/>
  <c r="D4" i="3"/>
  <c r="D5" i="3"/>
  <c r="D6" i="3"/>
  <c r="E6" i="3" s="1"/>
  <c r="D7" i="3"/>
  <c r="E7" i="3" s="1"/>
  <c r="D8" i="3"/>
  <c r="E8" i="3" s="1"/>
  <c r="D9" i="3"/>
  <c r="E9" i="3" s="1"/>
  <c r="D10" i="3"/>
  <c r="D11" i="3"/>
  <c r="D12" i="3"/>
  <c r="D13" i="3"/>
  <c r="D2" i="3"/>
  <c r="C5" i="2"/>
  <c r="C6" i="2" s="1"/>
  <c r="C7" i="2" s="1"/>
  <c r="C9" i="2" s="1"/>
  <c r="D5" i="2"/>
  <c r="D6" i="2" s="1"/>
  <c r="D7" i="2" s="1"/>
  <c r="D9" i="2" s="1"/>
  <c r="B5" i="2"/>
  <c r="B6" i="2" s="1"/>
  <c r="B7" i="2" s="1"/>
  <c r="B9" i="2" s="1"/>
  <c r="D8" i="2" l="1"/>
  <c r="C8" i="2"/>
  <c r="B8" i="2"/>
</calcChain>
</file>

<file path=xl/sharedStrings.xml><?xml version="1.0" encoding="utf-8"?>
<sst xmlns="http://schemas.openxmlformats.org/spreadsheetml/2006/main" count="137" uniqueCount="80">
  <si>
    <t>Year 1</t>
  </si>
  <si>
    <t>Year 2</t>
  </si>
  <si>
    <t>Year 3</t>
  </si>
  <si>
    <t>Working Days per Year ($D_{year}$)</t>
  </si>
  <si>
    <t>Parameter</t>
  </si>
  <si>
    <t>Shifts per Day ($N_{shifts}$)</t>
  </si>
  <si>
    <t>Target Annual Production ($U_{year}^{total}$)</t>
  </si>
  <si>
    <t>Available Time per Year ($t_{w}$) [s]</t>
  </si>
  <si>
    <t>Time per Shift ($t_{shift}$) [s]</t>
  </si>
  <si>
    <t>Takt Time ($T$) [s]</t>
  </si>
  <si>
    <t>Takt Time ($T$) [min]</t>
  </si>
  <si>
    <t>Takt Time ($T$) [hr]</t>
  </si>
  <si>
    <t>Machine</t>
  </si>
  <si>
    <t>OEE</t>
  </si>
  <si>
    <t>Ideal Machine Availability [minutes/day]</t>
  </si>
  <si>
    <t>Real Machine availability [minutes/day]</t>
  </si>
  <si>
    <t>Real Machine availability [minutes/year]</t>
  </si>
  <si>
    <t>3D Printer</t>
  </si>
  <si>
    <t xml:space="preserve">4-Axis CNC Milling Machine </t>
  </si>
  <si>
    <t>3-Axis CNC Contour Machine</t>
  </si>
  <si>
    <t>3-Axis CNC Milling Machine</t>
  </si>
  <si>
    <t>Extrusion Press</t>
  </si>
  <si>
    <t>Drill</t>
  </si>
  <si>
    <t>Reamer</t>
  </si>
  <si>
    <t>Laser Cutter</t>
  </si>
  <si>
    <t>Welding Plant</t>
  </si>
  <si>
    <t xml:space="preserve">Automated Pick-and-Place Machine </t>
  </si>
  <si>
    <t>Reflow Oven</t>
  </si>
  <si>
    <t>Hand Soldering Station</t>
  </si>
  <si>
    <t>Position Number</t>
  </si>
  <si>
    <t>Part</t>
  </si>
  <si>
    <t>PCB Mount</t>
  </si>
  <si>
    <t>Battery Cradle</t>
  </si>
  <si>
    <t>Panel Frame</t>
  </si>
  <si>
    <t>Load Cell Compartment</t>
  </si>
  <si>
    <t>Aluminium Box Foam</t>
  </si>
  <si>
    <t>Electronics Basin</t>
  </si>
  <si>
    <t>Aluminium Frame</t>
  </si>
  <si>
    <t>Panel</t>
  </si>
  <si>
    <t>Cable Tray</t>
  </si>
  <si>
    <t>Top Foam</t>
  </si>
  <si>
    <t>Lower Pelican Case</t>
  </si>
  <si>
    <t>Printed Circuit Board</t>
  </si>
  <si>
    <t>M12 Load Cell Cable</t>
  </si>
  <si>
    <t>Process(s)</t>
  </si>
  <si>
    <t>Production Volume [units/year]</t>
  </si>
  <si>
    <t>Production Time Per Unit [min/unit]</t>
  </si>
  <si>
    <t>Total Production Time [min/year]</t>
  </si>
  <si>
    <t>Etching</t>
  </si>
  <si>
    <t>Etching, Screen printing</t>
  </si>
  <si>
    <t>3D Printing</t>
  </si>
  <si>
    <t>4-axis CNC Milling</t>
  </si>
  <si>
    <t>3-axis CNC Contour</t>
  </si>
  <si>
    <t>Backward Extrusion and 4-axis CNC Milling</t>
  </si>
  <si>
    <t>Fiber Glass Laser cutting and Welding</t>
  </si>
  <si>
    <t>3-axis CNC Milling</t>
  </si>
  <si>
    <t>Drilling and Reaming</t>
  </si>
  <si>
    <t>Soldering</t>
  </si>
  <si>
    <t>Process Steps</t>
  </si>
  <si>
    <t>Process Step Time [min]</t>
  </si>
  <si>
    <t>Cutting</t>
  </si>
  <si>
    <t>Treatment</t>
  </si>
  <si>
    <t>Drilling</t>
  </si>
  <si>
    <t>Surface Finish</t>
  </si>
  <si>
    <t>Screen Printing</t>
  </si>
  <si>
    <t>Support removal</t>
  </si>
  <si>
    <t>Center cut out</t>
  </si>
  <si>
    <t>Feature milling</t>
  </si>
  <si>
    <t>Remove center piece</t>
  </si>
  <si>
    <t>Rotate workpiece</t>
  </si>
  <si>
    <t>Milling holes</t>
  </si>
  <si>
    <t>Processing Time [min/unit]</t>
  </si>
  <si>
    <t>Setup Time [min/unit]</t>
  </si>
  <si>
    <t>Manual Drilling and Reaming</t>
  </si>
  <si>
    <t>Fiber Glass Laser cutting and Manual Welding</t>
  </si>
  <si>
    <t>No. of Machines</t>
  </si>
  <si>
    <t>Required Production Time [min/year]</t>
  </si>
  <si>
    <t>Machine Availability [min/year]</t>
  </si>
  <si>
    <t>Required prodution Time</t>
  </si>
  <si>
    <t>No. of Machines (estimate)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</si>
</sst>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rgb="FF1F1F1F"/>
      <name val="Times New Roman"/>
      <family val="1"/>
    </font>
    <font>
      <sz val="11"/>
      <color rgb="FF1F1F1F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1" fillId="0" borderId="3" xfId="0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0" fontId="0" fillId="0" borderId="2" xfId="0" applyBorder="1"/>
    <xf numFmtId="0" fontId="1" fillId="0" borderId="5" xfId="0" applyFont="1" applyBorder="1" applyAlignment="1">
      <alignment horizontal="left" vertical="center" wrapText="1" indent="1" readingOrder="1"/>
    </xf>
    <xf numFmtId="3" fontId="2" fillId="0" borderId="4" xfId="0" applyNumberFormat="1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/>
    <xf numFmtId="0" fontId="0" fillId="0" borderId="4" xfId="0" applyBorder="1"/>
    <xf numFmtId="0" fontId="1" fillId="0" borderId="7" xfId="0" applyFont="1" applyBorder="1" applyAlignment="1">
      <alignment horizontal="left" vertical="center" wrapText="1" indent="1" readingOrder="1"/>
    </xf>
    <xf numFmtId="0" fontId="1" fillId="0" borderId="8" xfId="0" applyFont="1" applyBorder="1" applyAlignment="1">
      <alignment horizontal="left" vertical="center" wrapText="1" indent="1" readingOrder="1"/>
    </xf>
    <xf numFmtId="0" fontId="0" fillId="0" borderId="6" xfId="0" applyBorder="1"/>
    <xf numFmtId="0" fontId="5" fillId="0" borderId="9" xfId="0" applyFont="1" applyBorder="1" applyAlignment="1">
      <alignment horizontal="justify" vertical="center" wrapText="1"/>
    </xf>
    <xf numFmtId="0" fontId="5" fillId="0" borderId="10" xfId="0" applyFont="1" applyBorder="1" applyAlignment="1">
      <alignment horizontal="justify" vertical="center" wrapText="1"/>
    </xf>
    <xf numFmtId="0" fontId="5" fillId="0" borderId="10" xfId="0" applyFont="1" applyBorder="1" applyAlignment="1">
      <alignment horizontal="left" vertical="center" wrapText="1"/>
    </xf>
    <xf numFmtId="0" fontId="6" fillId="2" borderId="11" xfId="0" applyFont="1" applyFill="1" applyBorder="1" applyAlignment="1">
      <alignment horizontal="left" vertical="center" wrapText="1"/>
    </xf>
    <xf numFmtId="9" fontId="7" fillId="2" borderId="12" xfId="0" applyNumberFormat="1" applyFont="1" applyFill="1" applyBorder="1" applyAlignment="1">
      <alignment horizontal="right" vertical="center" wrapText="1"/>
    </xf>
    <xf numFmtId="0" fontId="7" fillId="2" borderId="12" xfId="0" applyFont="1" applyFill="1" applyBorder="1" applyAlignment="1">
      <alignment horizontal="right" vertical="center" wrapText="1"/>
    </xf>
    <xf numFmtId="0" fontId="4" fillId="2" borderId="12" xfId="0" applyFont="1" applyFill="1" applyBorder="1" applyAlignment="1">
      <alignment horizontal="right" vertical="center" wrapText="1"/>
    </xf>
    <xf numFmtId="0" fontId="4" fillId="2" borderId="12" xfId="0" applyFont="1" applyFill="1" applyBorder="1" applyAlignment="1">
      <alignment horizontal="justify" vertical="center" wrapText="1"/>
    </xf>
    <xf numFmtId="0" fontId="5" fillId="0" borderId="11" xfId="0" applyFont="1" applyBorder="1" applyAlignment="1">
      <alignment horizontal="left" vertical="center" wrapText="1"/>
    </xf>
    <xf numFmtId="9" fontId="4" fillId="0" borderId="12" xfId="0" applyNumberFormat="1" applyFont="1" applyBorder="1" applyAlignment="1">
      <alignment horizontal="right" vertical="center" wrapText="1"/>
    </xf>
    <xf numFmtId="0" fontId="4" fillId="0" borderId="12" xfId="0" applyFont="1" applyBorder="1" applyAlignment="1">
      <alignment horizontal="justify" vertical="center" wrapText="1"/>
    </xf>
    <xf numFmtId="0" fontId="6" fillId="2" borderId="11" xfId="0" applyFont="1" applyFill="1" applyBorder="1" applyAlignment="1">
      <alignment horizontal="justify" vertical="center" wrapText="1"/>
    </xf>
    <xf numFmtId="0" fontId="5" fillId="0" borderId="11" xfId="0" applyFont="1" applyBorder="1" applyAlignment="1">
      <alignment horizontal="justify" vertical="center" wrapText="1"/>
    </xf>
    <xf numFmtId="0" fontId="7" fillId="2" borderId="12" xfId="0" applyFont="1" applyFill="1" applyBorder="1" applyAlignment="1">
      <alignment horizontal="justify" vertical="center" wrapText="1"/>
    </xf>
    <xf numFmtId="0" fontId="7" fillId="2" borderId="12" xfId="0" applyFont="1" applyFill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justify" vertical="center" wrapText="1"/>
    </xf>
    <xf numFmtId="0" fontId="6" fillId="2" borderId="12" xfId="0" applyFont="1" applyFill="1" applyBorder="1" applyAlignment="1">
      <alignment horizontal="left" vertical="center" wrapText="1"/>
    </xf>
    <xf numFmtId="9" fontId="7" fillId="2" borderId="12" xfId="0" applyNumberFormat="1" applyFont="1" applyFill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7" fillId="2" borderId="12" xfId="0" applyFont="1" applyFill="1" applyBorder="1" applyAlignment="1">
      <alignment vertical="center" wrapText="1"/>
    </xf>
    <xf numFmtId="0" fontId="5" fillId="0" borderId="12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left" vertical="center" wrapText="1"/>
    </xf>
    <xf numFmtId="1" fontId="7" fillId="2" borderId="12" xfId="0" applyNumberFormat="1" applyFont="1" applyFill="1" applyBorder="1" applyAlignment="1">
      <alignment horizontal="right" vertical="center" wrapText="1"/>
    </xf>
    <xf numFmtId="2" fontId="4" fillId="0" borderId="12" xfId="0" applyNumberFormat="1" applyFont="1" applyBorder="1" applyAlignment="1">
      <alignment vertical="center" wrapText="1"/>
    </xf>
    <xf numFmtId="2" fontId="7" fillId="2" borderId="12" xfId="0" applyNumberFormat="1" applyFont="1" applyFill="1" applyBorder="1" applyAlignment="1">
      <alignment vertical="center" wrapText="1"/>
    </xf>
    <xf numFmtId="1" fontId="7" fillId="2" borderId="12" xfId="0" applyNumberFormat="1" applyFont="1" applyFill="1" applyBorder="1" applyAlignment="1">
      <alignment vertical="center" wrapText="1"/>
    </xf>
    <xf numFmtId="1" fontId="4" fillId="0" borderId="12" xfId="0" applyNumberFormat="1" applyFont="1" applyBorder="1" applyAlignment="1">
      <alignment vertical="center" wrapText="1"/>
    </xf>
    <xf numFmtId="1" fontId="0" fillId="0" borderId="0" xfId="0" applyNumberFormat="1"/>
    <xf numFmtId="1" fontId="4" fillId="2" borderId="12" xfId="0" applyNumberFormat="1" applyFont="1" applyFill="1" applyBorder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B21B-7A31-4FF1-A341-071C71BDA9A3}">
  <dimension ref="A1:D9"/>
  <sheetViews>
    <sheetView workbookViewId="0">
      <selection activeCell="B6" sqref="B6"/>
    </sheetView>
  </sheetViews>
  <sheetFormatPr defaultRowHeight="14.4" x14ac:dyDescent="0.3"/>
  <cols>
    <col min="1" max="1" width="12.33203125" style="5" customWidth="1"/>
    <col min="2" max="4" width="12.88671875" style="10" customWidth="1"/>
  </cols>
  <sheetData>
    <row r="1" spans="1:4" s="1" customFormat="1" x14ac:dyDescent="0.3">
      <c r="A1" s="2" t="s">
        <v>4</v>
      </c>
      <c r="B1" s="6" t="s">
        <v>0</v>
      </c>
      <c r="C1" s="6" t="s">
        <v>1</v>
      </c>
      <c r="D1" s="6" t="s">
        <v>2</v>
      </c>
    </row>
    <row r="2" spans="1:4" ht="69" x14ac:dyDescent="0.3">
      <c r="A2" s="3" t="s">
        <v>6</v>
      </c>
      <c r="B2" s="7">
        <v>150</v>
      </c>
      <c r="C2" s="7">
        <v>150</v>
      </c>
      <c r="D2" s="7">
        <v>200</v>
      </c>
    </row>
    <row r="3" spans="1:4" ht="69" x14ac:dyDescent="0.3">
      <c r="A3" s="3" t="s">
        <v>3</v>
      </c>
      <c r="B3" s="8">
        <v>252</v>
      </c>
      <c r="C3" s="8">
        <v>252</v>
      </c>
      <c r="D3" s="8">
        <v>252</v>
      </c>
    </row>
    <row r="4" spans="1:4" ht="55.2" x14ac:dyDescent="0.3">
      <c r="A4" s="3" t="s">
        <v>5</v>
      </c>
      <c r="B4" s="8">
        <v>1</v>
      </c>
      <c r="C4" s="8">
        <v>1</v>
      </c>
      <c r="D4" s="8">
        <v>1</v>
      </c>
    </row>
    <row r="5" spans="1:4" ht="55.2" x14ac:dyDescent="0.3">
      <c r="A5" s="3" t="s">
        <v>8</v>
      </c>
      <c r="B5" s="8">
        <f>7.5*3600</f>
        <v>27000</v>
      </c>
      <c r="C5" s="8">
        <f t="shared" ref="C5:D5" si="0">7.5*3600</f>
        <v>27000</v>
      </c>
      <c r="D5" s="8">
        <f t="shared" si="0"/>
        <v>27000</v>
      </c>
    </row>
    <row r="6" spans="1:4" ht="69" x14ac:dyDescent="0.3">
      <c r="A6" s="3" t="s">
        <v>7</v>
      </c>
      <c r="B6" s="7">
        <f>B3*B4*B5</f>
        <v>6804000</v>
      </c>
      <c r="C6" s="7">
        <f t="shared" ref="C6:D6" si="1">C3*C4*C5</f>
        <v>6804000</v>
      </c>
      <c r="D6" s="7">
        <f t="shared" si="1"/>
        <v>6804000</v>
      </c>
    </row>
    <row r="7" spans="1:4" s="13" customFormat="1" ht="27.6" x14ac:dyDescent="0.3">
      <c r="A7" s="11" t="s">
        <v>9</v>
      </c>
      <c r="B7" s="12">
        <f>B6/B2</f>
        <v>45360</v>
      </c>
      <c r="C7" s="12">
        <f>C6/C2</f>
        <v>45360</v>
      </c>
      <c r="D7" s="12">
        <f>D6/D2</f>
        <v>34020</v>
      </c>
    </row>
    <row r="8" spans="1:4" ht="27.6" x14ac:dyDescent="0.3">
      <c r="A8" s="4" t="s">
        <v>10</v>
      </c>
      <c r="B8" s="9">
        <f>B7/60</f>
        <v>756</v>
      </c>
      <c r="C8" s="9">
        <f t="shared" ref="C8:D8" si="2">C7/60</f>
        <v>756</v>
      </c>
      <c r="D8" s="9">
        <f t="shared" si="2"/>
        <v>567</v>
      </c>
    </row>
    <row r="9" spans="1:4" ht="27.6" x14ac:dyDescent="0.3">
      <c r="A9" s="4" t="s">
        <v>11</v>
      </c>
      <c r="B9" s="9">
        <f>B7/60/60</f>
        <v>12.6</v>
      </c>
      <c r="C9" s="9">
        <f t="shared" ref="C9:D9" si="3">C7/60/60</f>
        <v>12.6</v>
      </c>
      <c r="D9" s="9">
        <f t="shared" si="3"/>
        <v>9.4499999999999993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06E04-961D-4496-91AB-81E0D50611C9}">
  <dimension ref="A1:E13"/>
  <sheetViews>
    <sheetView workbookViewId="0">
      <selection activeCell="A2" sqref="A2:A13"/>
    </sheetView>
  </sheetViews>
  <sheetFormatPr defaultRowHeight="14.4" x14ac:dyDescent="0.3"/>
  <cols>
    <col min="1" max="1" width="17.88671875" customWidth="1"/>
  </cols>
  <sheetData>
    <row r="1" spans="1:5" ht="109.8" thickBot="1" x14ac:dyDescent="0.35">
      <c r="A1" s="14" t="s">
        <v>12</v>
      </c>
      <c r="B1" s="15" t="s">
        <v>13</v>
      </c>
      <c r="C1" s="16" t="s">
        <v>14</v>
      </c>
      <c r="D1" s="15" t="s">
        <v>15</v>
      </c>
      <c r="E1" s="15" t="s">
        <v>16</v>
      </c>
    </row>
    <row r="2" spans="1:5" ht="31.8" thickBot="1" x14ac:dyDescent="0.35">
      <c r="A2" s="17" t="s">
        <v>17</v>
      </c>
      <c r="B2" s="18">
        <v>0.55000000000000004</v>
      </c>
      <c r="C2" s="19">
        <v>450</v>
      </c>
      <c r="D2" s="20">
        <f>B2*C2</f>
        <v>247.50000000000003</v>
      </c>
      <c r="E2" s="21">
        <f>D2*252</f>
        <v>62370.000000000007</v>
      </c>
    </row>
    <row r="3" spans="1:5" ht="78.599999999999994" thickBot="1" x14ac:dyDescent="0.35">
      <c r="A3" s="22" t="s">
        <v>18</v>
      </c>
      <c r="B3" s="23">
        <v>0.7</v>
      </c>
      <c r="C3" s="19">
        <v>450</v>
      </c>
      <c r="D3" s="20">
        <f t="shared" ref="D3:D13" si="0">B3*C3</f>
        <v>315</v>
      </c>
      <c r="E3" s="21">
        <f t="shared" ref="E3:E13" si="1">D3*252</f>
        <v>79380</v>
      </c>
    </row>
    <row r="4" spans="1:5" ht="78.599999999999994" thickBot="1" x14ac:dyDescent="0.35">
      <c r="A4" s="17" t="s">
        <v>19</v>
      </c>
      <c r="B4" s="18">
        <v>0.65</v>
      </c>
      <c r="C4" s="19">
        <v>450</v>
      </c>
      <c r="D4" s="20">
        <f t="shared" si="0"/>
        <v>292.5</v>
      </c>
      <c r="E4" s="21">
        <f t="shared" si="1"/>
        <v>73710</v>
      </c>
    </row>
    <row r="5" spans="1:5" ht="78.599999999999994" thickBot="1" x14ac:dyDescent="0.35">
      <c r="A5" s="22" t="s">
        <v>20</v>
      </c>
      <c r="B5" s="23">
        <v>0.7</v>
      </c>
      <c r="C5" s="19">
        <v>450</v>
      </c>
      <c r="D5" s="20">
        <f t="shared" si="0"/>
        <v>315</v>
      </c>
      <c r="E5" s="21">
        <f t="shared" si="1"/>
        <v>79380</v>
      </c>
    </row>
    <row r="6" spans="1:5" ht="31.8" thickBot="1" x14ac:dyDescent="0.35">
      <c r="A6" s="17" t="s">
        <v>21</v>
      </c>
      <c r="B6" s="18">
        <v>0.9</v>
      </c>
      <c r="C6" s="19">
        <v>450</v>
      </c>
      <c r="D6" s="20">
        <f t="shared" si="0"/>
        <v>405</v>
      </c>
      <c r="E6" s="21">
        <f t="shared" si="1"/>
        <v>102060</v>
      </c>
    </row>
    <row r="7" spans="1:5" ht="16.2" thickBot="1" x14ac:dyDescent="0.35">
      <c r="A7" s="22" t="s">
        <v>22</v>
      </c>
      <c r="B7" s="23">
        <v>0.6</v>
      </c>
      <c r="C7" s="19">
        <v>450</v>
      </c>
      <c r="D7" s="20">
        <f t="shared" si="0"/>
        <v>270</v>
      </c>
      <c r="E7" s="21">
        <f t="shared" si="1"/>
        <v>68040</v>
      </c>
    </row>
    <row r="8" spans="1:5" ht="16.2" thickBot="1" x14ac:dyDescent="0.35">
      <c r="A8" s="17" t="s">
        <v>23</v>
      </c>
      <c r="B8" s="18">
        <v>0.5</v>
      </c>
      <c r="C8" s="19">
        <v>450</v>
      </c>
      <c r="D8" s="20">
        <f t="shared" si="0"/>
        <v>225</v>
      </c>
      <c r="E8" s="21">
        <f t="shared" si="1"/>
        <v>56700</v>
      </c>
    </row>
    <row r="9" spans="1:5" ht="31.8" thickBot="1" x14ac:dyDescent="0.35">
      <c r="A9" s="22" t="s">
        <v>24</v>
      </c>
      <c r="B9" s="23">
        <v>0.7</v>
      </c>
      <c r="C9" s="19">
        <v>450</v>
      </c>
      <c r="D9" s="20">
        <f t="shared" si="0"/>
        <v>315</v>
      </c>
      <c r="E9" s="21">
        <f t="shared" si="1"/>
        <v>79380</v>
      </c>
    </row>
    <row r="10" spans="1:5" ht="31.8" thickBot="1" x14ac:dyDescent="0.35">
      <c r="A10" s="17" t="s">
        <v>25</v>
      </c>
      <c r="B10" s="18">
        <v>0.5</v>
      </c>
      <c r="C10" s="19">
        <v>450</v>
      </c>
      <c r="D10" s="20">
        <f t="shared" si="0"/>
        <v>225</v>
      </c>
      <c r="E10" s="21">
        <f t="shared" si="1"/>
        <v>56700</v>
      </c>
    </row>
    <row r="11" spans="1:5" ht="94.2" thickBot="1" x14ac:dyDescent="0.35">
      <c r="A11" s="22" t="s">
        <v>26</v>
      </c>
      <c r="B11" s="23">
        <v>0.75</v>
      </c>
      <c r="C11" s="19">
        <v>450</v>
      </c>
      <c r="D11" s="20">
        <f t="shared" si="0"/>
        <v>337.5</v>
      </c>
      <c r="E11" s="21">
        <f t="shared" si="1"/>
        <v>85050</v>
      </c>
    </row>
    <row r="12" spans="1:5" ht="31.8" thickBot="1" x14ac:dyDescent="0.35">
      <c r="A12" s="17" t="s">
        <v>27</v>
      </c>
      <c r="B12" s="18">
        <v>0.85</v>
      </c>
      <c r="C12" s="19">
        <v>450</v>
      </c>
      <c r="D12" s="20">
        <f t="shared" si="0"/>
        <v>382.5</v>
      </c>
      <c r="E12" s="21">
        <f t="shared" si="1"/>
        <v>96390</v>
      </c>
    </row>
    <row r="13" spans="1:5" ht="63" thickBot="1" x14ac:dyDescent="0.35">
      <c r="A13" s="22" t="s">
        <v>28</v>
      </c>
      <c r="B13" s="23">
        <v>0.35</v>
      </c>
      <c r="C13" s="19">
        <v>450</v>
      </c>
      <c r="D13" s="20">
        <f t="shared" si="0"/>
        <v>157.5</v>
      </c>
      <c r="E13" s="21">
        <f t="shared" si="1"/>
        <v>39690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C935-1910-457F-AF5E-DDCB700C53A2}">
  <dimension ref="A1:L14"/>
  <sheetViews>
    <sheetView zoomScale="55" zoomScaleNormal="55" workbookViewId="0">
      <selection activeCell="L7" sqref="L7"/>
    </sheetView>
  </sheetViews>
  <sheetFormatPr defaultRowHeight="14.4" x14ac:dyDescent="0.3"/>
  <cols>
    <col min="2" max="2" width="19.44140625" customWidth="1"/>
    <col min="3" max="5" width="27.5546875" customWidth="1"/>
    <col min="6" max="6" width="12.21875" customWidth="1"/>
    <col min="7" max="8" width="19" customWidth="1"/>
    <col min="9" max="9" width="8.88671875" customWidth="1"/>
    <col min="11" max="11" width="27.6640625" customWidth="1"/>
  </cols>
  <sheetData>
    <row r="1" spans="1:12" ht="63" thickBot="1" x14ac:dyDescent="0.35">
      <c r="A1" s="14" t="s">
        <v>29</v>
      </c>
      <c r="B1" s="14" t="s">
        <v>30</v>
      </c>
      <c r="C1" s="36" t="s">
        <v>44</v>
      </c>
      <c r="D1" s="37" t="s">
        <v>71</v>
      </c>
      <c r="E1" s="37" t="s">
        <v>72</v>
      </c>
      <c r="F1" s="38" t="s">
        <v>46</v>
      </c>
      <c r="G1" s="37" t="s">
        <v>45</v>
      </c>
      <c r="H1" s="37" t="s">
        <v>47</v>
      </c>
    </row>
    <row r="2" spans="1:12" ht="31.8" thickBot="1" x14ac:dyDescent="0.35">
      <c r="A2" s="25">
        <v>1</v>
      </c>
      <c r="B2" s="31" t="s">
        <v>42</v>
      </c>
      <c r="C2" s="32" t="s">
        <v>49</v>
      </c>
      <c r="D2" s="42">
        <v>102</v>
      </c>
      <c r="E2" s="42">
        <v>20</v>
      </c>
      <c r="F2" s="39">
        <f>D2+E2</f>
        <v>122</v>
      </c>
      <c r="G2" s="39">
        <v>150</v>
      </c>
      <c r="H2" s="39">
        <f>F2*G2</f>
        <v>18300</v>
      </c>
      <c r="I2" s="17"/>
      <c r="L2" t="s">
        <v>78</v>
      </c>
    </row>
    <row r="3" spans="1:12" ht="16.2" thickBot="1" x14ac:dyDescent="0.35">
      <c r="A3" s="14">
        <v>2</v>
      </c>
      <c r="B3" s="16" t="s">
        <v>31</v>
      </c>
      <c r="C3" s="33" t="s">
        <v>50</v>
      </c>
      <c r="D3" s="43">
        <v>60</v>
      </c>
      <c r="E3" s="43">
        <v>15</v>
      </c>
      <c r="F3" s="39">
        <f t="shared" ref="F3:F14" si="0">D3+E3</f>
        <v>75</v>
      </c>
      <c r="G3" s="39">
        <v>150</v>
      </c>
      <c r="H3" s="39">
        <f t="shared" ref="H3:H14" si="1">F3*G3</f>
        <v>11250</v>
      </c>
      <c r="I3" s="22"/>
      <c r="K3" s="17" t="s">
        <v>17</v>
      </c>
      <c r="L3" s="44">
        <f>SUM(H3,H4)</f>
        <v>19500</v>
      </c>
    </row>
    <row r="4" spans="1:12" ht="31.8" thickBot="1" x14ac:dyDescent="0.35">
      <c r="A4" s="25">
        <v>3</v>
      </c>
      <c r="B4" s="31" t="s">
        <v>32</v>
      </c>
      <c r="C4" s="34" t="s">
        <v>50</v>
      </c>
      <c r="D4" s="42">
        <v>45</v>
      </c>
      <c r="E4" s="42">
        <v>10</v>
      </c>
      <c r="F4" s="39">
        <f t="shared" si="0"/>
        <v>55</v>
      </c>
      <c r="G4" s="39">
        <v>150</v>
      </c>
      <c r="H4" s="39">
        <f t="shared" si="1"/>
        <v>8250</v>
      </c>
      <c r="I4" s="17"/>
      <c r="K4" s="22" t="s">
        <v>18</v>
      </c>
      <c r="L4">
        <f>H5+H8/2</f>
        <v>12000</v>
      </c>
    </row>
    <row r="5" spans="1:12" ht="31.8" thickBot="1" x14ac:dyDescent="0.35">
      <c r="A5" s="26">
        <v>4</v>
      </c>
      <c r="B5" s="16" t="s">
        <v>33</v>
      </c>
      <c r="C5" s="33" t="s">
        <v>51</v>
      </c>
      <c r="D5" s="43">
        <v>30</v>
      </c>
      <c r="E5" s="43">
        <v>20</v>
      </c>
      <c r="F5" s="39">
        <f t="shared" si="0"/>
        <v>50</v>
      </c>
      <c r="G5" s="39">
        <v>150</v>
      </c>
      <c r="H5" s="39">
        <f t="shared" si="1"/>
        <v>7500</v>
      </c>
      <c r="I5" s="22"/>
      <c r="K5" s="17" t="s">
        <v>19</v>
      </c>
      <c r="L5" s="44">
        <f>H6+H7+H12</f>
        <v>10200</v>
      </c>
    </row>
    <row r="6" spans="1:12" ht="31.8" thickBot="1" x14ac:dyDescent="0.35">
      <c r="A6" s="25">
        <v>5</v>
      </c>
      <c r="B6" s="31" t="s">
        <v>34</v>
      </c>
      <c r="C6" s="34" t="s">
        <v>52</v>
      </c>
      <c r="D6" s="42">
        <v>25</v>
      </c>
      <c r="E6" s="42">
        <v>15</v>
      </c>
      <c r="F6" s="39">
        <f t="shared" si="0"/>
        <v>40</v>
      </c>
      <c r="G6" s="39">
        <v>150</v>
      </c>
      <c r="H6" s="39">
        <f t="shared" si="1"/>
        <v>6000</v>
      </c>
      <c r="I6" s="17"/>
      <c r="K6" s="22" t="s">
        <v>20</v>
      </c>
      <c r="L6" s="44">
        <f>H10+H11</f>
        <v>8250</v>
      </c>
    </row>
    <row r="7" spans="1:12" ht="31.8" thickBot="1" x14ac:dyDescent="0.35">
      <c r="A7" s="26">
        <v>6</v>
      </c>
      <c r="B7" s="16" t="s">
        <v>35</v>
      </c>
      <c r="C7" s="33" t="s">
        <v>52</v>
      </c>
      <c r="D7" s="43">
        <v>10</v>
      </c>
      <c r="E7" s="43">
        <v>5</v>
      </c>
      <c r="F7" s="39">
        <f t="shared" si="0"/>
        <v>15</v>
      </c>
      <c r="G7" s="39">
        <v>150</v>
      </c>
      <c r="H7" s="39">
        <f t="shared" si="1"/>
        <v>2250</v>
      </c>
      <c r="I7" s="22"/>
      <c r="K7" s="17" t="s">
        <v>21</v>
      </c>
      <c r="L7">
        <f>H8/2</f>
        <v>4500</v>
      </c>
    </row>
    <row r="8" spans="1:12" ht="31.8" thickBot="1" x14ac:dyDescent="0.35">
      <c r="A8" s="25">
        <v>7</v>
      </c>
      <c r="B8" s="31" t="s">
        <v>36</v>
      </c>
      <c r="C8" s="34" t="s">
        <v>53</v>
      </c>
      <c r="D8" s="42">
        <v>30</v>
      </c>
      <c r="E8" s="42">
        <v>30</v>
      </c>
      <c r="F8" s="39">
        <f t="shared" si="0"/>
        <v>60</v>
      </c>
      <c r="G8" s="39">
        <v>150</v>
      </c>
      <c r="H8" s="39">
        <f t="shared" si="1"/>
        <v>9000</v>
      </c>
      <c r="I8" s="17"/>
      <c r="K8" s="22" t="s">
        <v>22</v>
      </c>
      <c r="L8">
        <f>H13*70</f>
        <v>231000</v>
      </c>
    </row>
    <row r="9" spans="1:12" ht="31.8" thickBot="1" x14ac:dyDescent="0.35">
      <c r="A9" s="26">
        <v>8</v>
      </c>
      <c r="B9" s="16" t="s">
        <v>37</v>
      </c>
      <c r="C9" s="33" t="s">
        <v>74</v>
      </c>
      <c r="D9" s="43">
        <v>35</v>
      </c>
      <c r="E9" s="43">
        <v>25</v>
      </c>
      <c r="F9" s="39">
        <f t="shared" si="0"/>
        <v>60</v>
      </c>
      <c r="G9" s="39">
        <v>150</v>
      </c>
      <c r="H9" s="39">
        <f t="shared" si="1"/>
        <v>9000</v>
      </c>
      <c r="I9" s="22"/>
      <c r="K9" s="17" t="s">
        <v>23</v>
      </c>
      <c r="L9">
        <f>H13*0.3</f>
        <v>990</v>
      </c>
    </row>
    <row r="10" spans="1:12" ht="16.2" thickBot="1" x14ac:dyDescent="0.35">
      <c r="A10" s="25">
        <v>9</v>
      </c>
      <c r="B10" s="31" t="s">
        <v>38</v>
      </c>
      <c r="C10" s="34" t="s">
        <v>55</v>
      </c>
      <c r="D10" s="42">
        <v>20</v>
      </c>
      <c r="E10" s="42">
        <v>10</v>
      </c>
      <c r="F10" s="39">
        <f t="shared" si="0"/>
        <v>30</v>
      </c>
      <c r="G10" s="39">
        <v>150</v>
      </c>
      <c r="H10" s="39">
        <f t="shared" si="1"/>
        <v>4500</v>
      </c>
      <c r="I10" s="17"/>
      <c r="K10" s="22" t="s">
        <v>24</v>
      </c>
      <c r="L10">
        <f>H9*30</f>
        <v>270000</v>
      </c>
    </row>
    <row r="11" spans="1:12" ht="16.2" thickBot="1" x14ac:dyDescent="0.35">
      <c r="A11" s="26">
        <v>10</v>
      </c>
      <c r="B11" s="16" t="s">
        <v>39</v>
      </c>
      <c r="C11" s="33" t="s">
        <v>55</v>
      </c>
      <c r="D11" s="43">
        <v>15</v>
      </c>
      <c r="E11" s="43">
        <v>10</v>
      </c>
      <c r="F11" s="39">
        <f t="shared" si="0"/>
        <v>25</v>
      </c>
      <c r="G11" s="39">
        <v>150</v>
      </c>
      <c r="H11" s="39">
        <f t="shared" si="1"/>
        <v>3750</v>
      </c>
      <c r="I11" s="22"/>
      <c r="K11" s="17" t="s">
        <v>25</v>
      </c>
      <c r="L11">
        <f>H9*70</f>
        <v>630000</v>
      </c>
    </row>
    <row r="12" spans="1:12" ht="31.8" thickBot="1" x14ac:dyDescent="0.35">
      <c r="A12" s="25">
        <v>11</v>
      </c>
      <c r="B12" s="31" t="s">
        <v>40</v>
      </c>
      <c r="C12" s="34" t="s">
        <v>52</v>
      </c>
      <c r="D12" s="42">
        <v>8</v>
      </c>
      <c r="E12" s="42">
        <v>5</v>
      </c>
      <c r="F12" s="39">
        <f t="shared" si="0"/>
        <v>13</v>
      </c>
      <c r="G12" s="39">
        <v>150</v>
      </c>
      <c r="H12" s="39">
        <f t="shared" si="1"/>
        <v>1950</v>
      </c>
      <c r="I12" s="17"/>
      <c r="K12" s="22" t="s">
        <v>26</v>
      </c>
    </row>
    <row r="13" spans="1:12" ht="31.8" thickBot="1" x14ac:dyDescent="0.35">
      <c r="A13" s="26">
        <v>12</v>
      </c>
      <c r="B13" s="16" t="s">
        <v>41</v>
      </c>
      <c r="C13" s="33" t="s">
        <v>73</v>
      </c>
      <c r="D13" s="43">
        <v>12</v>
      </c>
      <c r="E13" s="43">
        <v>10</v>
      </c>
      <c r="F13" s="39">
        <f t="shared" si="0"/>
        <v>22</v>
      </c>
      <c r="G13" s="39">
        <v>150</v>
      </c>
      <c r="H13" s="39">
        <f t="shared" si="1"/>
        <v>3300</v>
      </c>
      <c r="I13" s="22"/>
      <c r="K13" s="17" t="s">
        <v>27</v>
      </c>
    </row>
    <row r="14" spans="1:12" ht="31.8" thickBot="1" x14ac:dyDescent="0.35">
      <c r="A14" s="25">
        <v>13</v>
      </c>
      <c r="B14" s="31" t="s">
        <v>43</v>
      </c>
      <c r="C14" s="34" t="s">
        <v>57</v>
      </c>
      <c r="D14" s="42">
        <v>10</v>
      </c>
      <c r="E14" s="42">
        <v>5</v>
      </c>
      <c r="F14" s="39">
        <f t="shared" si="0"/>
        <v>15</v>
      </c>
      <c r="G14" s="39">
        <v>150</v>
      </c>
      <c r="H14" s="39">
        <f t="shared" si="1"/>
        <v>2250</v>
      </c>
      <c r="I14" s="27"/>
      <c r="K14" s="22" t="s">
        <v>28</v>
      </c>
      <c r="L14" s="44">
        <f>H14</f>
        <v>2250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D109F-8A36-4D93-A359-56271D892B16}">
  <dimension ref="A1:E13"/>
  <sheetViews>
    <sheetView tabSelected="1" workbookViewId="0">
      <selection activeCell="D13" sqref="D13"/>
    </sheetView>
  </sheetViews>
  <sheetFormatPr defaultRowHeight="14.4" x14ac:dyDescent="0.3"/>
  <cols>
    <col min="1" max="1" width="19.77734375" customWidth="1"/>
    <col min="2" max="2" width="18.77734375" customWidth="1"/>
    <col min="3" max="4" width="15.77734375" customWidth="1"/>
    <col min="5" max="5" width="10.88671875" customWidth="1"/>
  </cols>
  <sheetData>
    <row r="1" spans="1:5" ht="47.4" thickBot="1" x14ac:dyDescent="0.35">
      <c r="A1" s="14" t="s">
        <v>12</v>
      </c>
      <c r="B1" s="16" t="s">
        <v>76</v>
      </c>
      <c r="C1" s="15" t="s">
        <v>77</v>
      </c>
      <c r="D1" s="15" t="s">
        <v>75</v>
      </c>
      <c r="E1" s="16" t="s">
        <v>79</v>
      </c>
    </row>
    <row r="2" spans="1:5" ht="16.2" thickBot="1" x14ac:dyDescent="0.35">
      <c r="A2" s="17" t="s">
        <v>17</v>
      </c>
      <c r="B2" s="45">
        <f>'production-time'!L3</f>
        <v>19500</v>
      </c>
      <c r="C2" s="21">
        <f>'machine-efficiency'!E2</f>
        <v>62370.000000000007</v>
      </c>
      <c r="D2" s="21">
        <f>_xlfn.CEILING.MATH(E2)</f>
        <v>1</v>
      </c>
      <c r="E2" s="21">
        <f>B2/C2</f>
        <v>0.31265031265031262</v>
      </c>
    </row>
    <row r="3" spans="1:5" ht="31.8" thickBot="1" x14ac:dyDescent="0.35">
      <c r="A3" s="22" t="s">
        <v>18</v>
      </c>
      <c r="B3" s="45">
        <f>'production-time'!L4</f>
        <v>12000</v>
      </c>
      <c r="C3" s="21">
        <f>'machine-efficiency'!E3</f>
        <v>79380</v>
      </c>
      <c r="D3" s="21">
        <f t="shared" ref="D3:D13" si="0">_xlfn.CEILING.MATH(E3)</f>
        <v>1</v>
      </c>
      <c r="E3" s="21">
        <f t="shared" ref="E3:E13" si="1">B3/C3</f>
        <v>0.15117157974300832</v>
      </c>
    </row>
    <row r="4" spans="1:5" ht="31.8" thickBot="1" x14ac:dyDescent="0.35">
      <c r="A4" s="17" t="s">
        <v>19</v>
      </c>
      <c r="B4" s="45">
        <f>'production-time'!L5</f>
        <v>10200</v>
      </c>
      <c r="C4" s="21">
        <f>'machine-efficiency'!E4</f>
        <v>73710</v>
      </c>
      <c r="D4" s="21">
        <f t="shared" si="0"/>
        <v>1</v>
      </c>
      <c r="E4" s="21">
        <f t="shared" si="1"/>
        <v>0.13838013838013838</v>
      </c>
    </row>
    <row r="5" spans="1:5" ht="31.8" thickBot="1" x14ac:dyDescent="0.35">
      <c r="A5" s="22" t="s">
        <v>20</v>
      </c>
      <c r="B5" s="45">
        <f>'production-time'!L6</f>
        <v>8250</v>
      </c>
      <c r="C5" s="21">
        <f>'machine-efficiency'!E5</f>
        <v>79380</v>
      </c>
      <c r="D5" s="21">
        <f t="shared" si="0"/>
        <v>1</v>
      </c>
      <c r="E5" s="21">
        <f t="shared" si="1"/>
        <v>0.10393046107331821</v>
      </c>
    </row>
    <row r="6" spans="1:5" ht="16.2" thickBot="1" x14ac:dyDescent="0.35">
      <c r="A6" s="17" t="s">
        <v>21</v>
      </c>
      <c r="B6" s="45">
        <f>'production-time'!L7</f>
        <v>4500</v>
      </c>
      <c r="C6" s="21">
        <f>'machine-efficiency'!E6</f>
        <v>102060</v>
      </c>
      <c r="D6" s="21">
        <f t="shared" si="0"/>
        <v>1</v>
      </c>
      <c r="E6" s="21">
        <f t="shared" si="1"/>
        <v>4.4091710758377423E-2</v>
      </c>
    </row>
    <row r="7" spans="1:5" ht="16.2" thickBot="1" x14ac:dyDescent="0.35">
      <c r="A7" s="22" t="s">
        <v>22</v>
      </c>
      <c r="B7" s="45">
        <f>'production-time'!L8</f>
        <v>231000</v>
      </c>
      <c r="C7" s="21">
        <f>'machine-efficiency'!E7</f>
        <v>68040</v>
      </c>
      <c r="D7" s="21">
        <f t="shared" si="0"/>
        <v>4</v>
      </c>
      <c r="E7" s="21">
        <f t="shared" si="1"/>
        <v>3.3950617283950617</v>
      </c>
    </row>
    <row r="8" spans="1:5" ht="16.2" thickBot="1" x14ac:dyDescent="0.35">
      <c r="A8" s="17" t="s">
        <v>23</v>
      </c>
      <c r="B8" s="45">
        <f>'production-time'!L9</f>
        <v>990</v>
      </c>
      <c r="C8" s="21">
        <f>'machine-efficiency'!E8</f>
        <v>56700</v>
      </c>
      <c r="D8" s="21">
        <f t="shared" si="0"/>
        <v>1</v>
      </c>
      <c r="E8" s="21">
        <f t="shared" si="1"/>
        <v>1.7460317460317461E-2</v>
      </c>
    </row>
    <row r="9" spans="1:5" ht="16.2" thickBot="1" x14ac:dyDescent="0.35">
      <c r="A9" s="22" t="s">
        <v>24</v>
      </c>
      <c r="B9" s="45">
        <f>'production-time'!L10</f>
        <v>270000</v>
      </c>
      <c r="C9" s="21">
        <f>'machine-efficiency'!E9</f>
        <v>79380</v>
      </c>
      <c r="D9" s="21">
        <f t="shared" si="0"/>
        <v>4</v>
      </c>
      <c r="E9" s="21">
        <f t="shared" si="1"/>
        <v>3.4013605442176869</v>
      </c>
    </row>
    <row r="10" spans="1:5" ht="16.2" thickBot="1" x14ac:dyDescent="0.35">
      <c r="A10" s="17" t="s">
        <v>25</v>
      </c>
      <c r="B10" s="45">
        <f>'production-time'!L11</f>
        <v>630000</v>
      </c>
      <c r="C10" s="21">
        <f>'machine-efficiency'!E10</f>
        <v>56700</v>
      </c>
      <c r="D10" s="21">
        <f t="shared" si="0"/>
        <v>12</v>
      </c>
      <c r="E10" s="21">
        <f t="shared" si="1"/>
        <v>11.111111111111111</v>
      </c>
    </row>
    <row r="11" spans="1:5" ht="31.8" thickBot="1" x14ac:dyDescent="0.35">
      <c r="A11" s="22" t="s">
        <v>26</v>
      </c>
      <c r="B11" s="45">
        <f>'production-time'!L12</f>
        <v>0</v>
      </c>
      <c r="C11" s="21">
        <f>'machine-efficiency'!E11</f>
        <v>85050</v>
      </c>
      <c r="D11" s="21">
        <f t="shared" si="0"/>
        <v>0</v>
      </c>
      <c r="E11" s="21">
        <f t="shared" si="1"/>
        <v>0</v>
      </c>
    </row>
    <row r="12" spans="1:5" ht="16.2" thickBot="1" x14ac:dyDescent="0.35">
      <c r="A12" s="17" t="s">
        <v>27</v>
      </c>
      <c r="B12" s="45">
        <f>'production-time'!L13</f>
        <v>0</v>
      </c>
      <c r="C12" s="21">
        <f>'machine-efficiency'!E12</f>
        <v>96390</v>
      </c>
      <c r="D12" s="21">
        <f t="shared" si="0"/>
        <v>0</v>
      </c>
      <c r="E12" s="21">
        <f t="shared" si="1"/>
        <v>0</v>
      </c>
    </row>
    <row r="13" spans="1:5" ht="31.8" thickBot="1" x14ac:dyDescent="0.35">
      <c r="A13" s="22" t="s">
        <v>28</v>
      </c>
      <c r="B13" s="45">
        <f>'production-time'!L14</f>
        <v>2250</v>
      </c>
      <c r="C13" s="21">
        <f>'machine-efficiency'!E13</f>
        <v>39690</v>
      </c>
      <c r="D13" s="21">
        <f t="shared" si="0"/>
        <v>1</v>
      </c>
      <c r="E13" s="21">
        <f t="shared" si="1"/>
        <v>5.6689342403628121E-2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BBE11-0677-4B41-9774-F63CAC91108D}">
  <dimension ref="A1:F28"/>
  <sheetViews>
    <sheetView workbookViewId="0">
      <selection activeCell="E3" sqref="E3"/>
    </sheetView>
  </sheetViews>
  <sheetFormatPr defaultRowHeight="14.4" x14ac:dyDescent="0.3"/>
  <cols>
    <col min="2" max="2" width="19.44140625" customWidth="1"/>
    <col min="3" max="4" width="27.5546875" customWidth="1"/>
    <col min="5" max="5" width="12.21875" customWidth="1"/>
    <col min="6" max="6" width="8.88671875" customWidth="1"/>
  </cols>
  <sheetData>
    <row r="1" spans="1:6" ht="63" thickBot="1" x14ac:dyDescent="0.35">
      <c r="A1" s="14" t="s">
        <v>29</v>
      </c>
      <c r="B1" s="14" t="s">
        <v>30</v>
      </c>
      <c r="C1" s="14" t="s">
        <v>58</v>
      </c>
      <c r="D1" s="14" t="s">
        <v>59</v>
      </c>
      <c r="E1" s="29" t="s">
        <v>46</v>
      </c>
    </row>
    <row r="2" spans="1:6" ht="31.8" thickBot="1" x14ac:dyDescent="0.35">
      <c r="A2" s="25">
        <v>1</v>
      </c>
      <c r="B2" s="31" t="s">
        <v>42</v>
      </c>
      <c r="C2" s="32" t="s">
        <v>60</v>
      </c>
      <c r="D2" s="41">
        <v>2</v>
      </c>
      <c r="E2" s="41">
        <f>SUM(D2:D7)</f>
        <v>102</v>
      </c>
      <c r="F2" s="17"/>
    </row>
    <row r="3" spans="1:6" ht="16.2" thickBot="1" x14ac:dyDescent="0.35">
      <c r="A3" s="25"/>
      <c r="B3" s="31"/>
      <c r="C3" s="32" t="s">
        <v>61</v>
      </c>
      <c r="D3" s="41">
        <v>10</v>
      </c>
      <c r="E3" s="18"/>
      <c r="F3" s="17"/>
    </row>
    <row r="4" spans="1:6" ht="16.2" thickBot="1" x14ac:dyDescent="0.35">
      <c r="A4" s="25"/>
      <c r="B4" s="31"/>
      <c r="C4" s="32" t="s">
        <v>48</v>
      </c>
      <c r="D4" s="41">
        <v>40</v>
      </c>
      <c r="E4" s="18"/>
      <c r="F4" s="17"/>
    </row>
    <row r="5" spans="1:6" ht="16.2" thickBot="1" x14ac:dyDescent="0.35">
      <c r="A5" s="25"/>
      <c r="B5" s="31"/>
      <c r="C5" s="32" t="s">
        <v>62</v>
      </c>
      <c r="D5" s="41">
        <v>10</v>
      </c>
      <c r="E5" s="18"/>
      <c r="F5" s="17"/>
    </row>
    <row r="6" spans="1:6" ht="16.2" thickBot="1" x14ac:dyDescent="0.35">
      <c r="A6" s="25"/>
      <c r="B6" s="31"/>
      <c r="C6" s="32" t="s">
        <v>63</v>
      </c>
      <c r="D6" s="41">
        <v>20</v>
      </c>
      <c r="E6" s="18"/>
      <c r="F6" s="17"/>
    </row>
    <row r="7" spans="1:6" ht="16.2" thickBot="1" x14ac:dyDescent="0.35">
      <c r="A7" s="25"/>
      <c r="B7" s="31"/>
      <c r="C7" s="32" t="s">
        <v>64</v>
      </c>
      <c r="D7" s="41">
        <v>20</v>
      </c>
      <c r="E7" s="18"/>
      <c r="F7" s="17"/>
    </row>
    <row r="8" spans="1:6" ht="16.2" thickBot="1" x14ac:dyDescent="0.35">
      <c r="A8" s="14">
        <v>2</v>
      </c>
      <c r="B8" s="16" t="s">
        <v>31</v>
      </c>
      <c r="C8" s="33" t="s">
        <v>50</v>
      </c>
      <c r="D8" s="40"/>
      <c r="E8" s="30"/>
      <c r="F8" s="22"/>
    </row>
    <row r="9" spans="1:6" ht="16.2" thickBot="1" x14ac:dyDescent="0.35">
      <c r="A9" s="26"/>
      <c r="B9" s="35"/>
      <c r="C9" s="33" t="s">
        <v>65</v>
      </c>
      <c r="D9" s="40"/>
      <c r="E9" s="30"/>
      <c r="F9" s="22"/>
    </row>
    <row r="10" spans="1:6" ht="16.2" thickBot="1" x14ac:dyDescent="0.35">
      <c r="A10" s="25">
        <v>3</v>
      </c>
      <c r="B10" s="31" t="s">
        <v>32</v>
      </c>
      <c r="C10" s="34" t="s">
        <v>50</v>
      </c>
      <c r="D10" s="41"/>
      <c r="E10" s="27"/>
      <c r="F10" s="17"/>
    </row>
    <row r="11" spans="1:6" ht="16.2" thickBot="1" x14ac:dyDescent="0.35">
      <c r="A11" s="25"/>
      <c r="B11" s="31"/>
      <c r="C11" s="34" t="s">
        <v>65</v>
      </c>
      <c r="D11" s="41"/>
      <c r="E11" s="27"/>
      <c r="F11" s="17"/>
    </row>
    <row r="12" spans="1:6" ht="16.2" thickBot="1" x14ac:dyDescent="0.35">
      <c r="A12" s="26">
        <v>4</v>
      </c>
      <c r="B12" s="16" t="s">
        <v>33</v>
      </c>
      <c r="C12" s="33" t="s">
        <v>66</v>
      </c>
      <c r="D12" s="40"/>
      <c r="E12" s="24"/>
      <c r="F12" s="22"/>
    </row>
    <row r="13" spans="1:6" ht="16.2" thickBot="1" x14ac:dyDescent="0.35">
      <c r="A13" s="26"/>
      <c r="B13" s="35"/>
      <c r="C13" s="33" t="s">
        <v>68</v>
      </c>
      <c r="D13" s="40"/>
      <c r="E13" s="24"/>
      <c r="F13" s="22"/>
    </row>
    <row r="14" spans="1:6" ht="16.2" thickBot="1" x14ac:dyDescent="0.35">
      <c r="A14" s="26"/>
      <c r="B14" s="35"/>
      <c r="C14" s="33" t="s">
        <v>67</v>
      </c>
      <c r="D14" s="40"/>
      <c r="E14" s="24"/>
      <c r="F14" s="22"/>
    </row>
    <row r="15" spans="1:6" ht="16.2" thickBot="1" x14ac:dyDescent="0.35">
      <c r="A15" s="26"/>
      <c r="B15" s="35"/>
      <c r="C15" s="33" t="s">
        <v>69</v>
      </c>
      <c r="D15" s="40"/>
      <c r="E15" s="24"/>
      <c r="F15" s="22"/>
    </row>
    <row r="16" spans="1:6" ht="16.2" thickBot="1" x14ac:dyDescent="0.35">
      <c r="A16" s="26"/>
      <c r="B16" s="35"/>
      <c r="C16" s="33" t="s">
        <v>70</v>
      </c>
      <c r="D16" s="40"/>
      <c r="E16" s="24"/>
      <c r="F16" s="22"/>
    </row>
    <row r="17" spans="1:6" ht="16.2" thickBot="1" x14ac:dyDescent="0.35">
      <c r="A17" s="26"/>
      <c r="B17" s="35"/>
      <c r="C17" s="33" t="s">
        <v>69</v>
      </c>
      <c r="D17" s="40"/>
      <c r="E17" s="24"/>
      <c r="F17" s="22"/>
    </row>
    <row r="18" spans="1:6" ht="16.2" thickBot="1" x14ac:dyDescent="0.35">
      <c r="A18" s="26"/>
      <c r="B18" s="35"/>
      <c r="C18" s="33" t="s">
        <v>70</v>
      </c>
      <c r="D18" s="40"/>
      <c r="E18" s="24"/>
      <c r="F18" s="22"/>
    </row>
    <row r="19" spans="1:6" ht="31.8" thickBot="1" x14ac:dyDescent="0.35">
      <c r="A19" s="25">
        <v>5</v>
      </c>
      <c r="B19" s="31" t="s">
        <v>34</v>
      </c>
      <c r="C19" s="34" t="s">
        <v>52</v>
      </c>
      <c r="D19" s="41"/>
      <c r="E19" s="28"/>
      <c r="F19" s="17"/>
    </row>
    <row r="20" spans="1:6" ht="16.2" thickBot="1" x14ac:dyDescent="0.35">
      <c r="A20" s="25"/>
      <c r="B20" s="31"/>
      <c r="C20" s="34"/>
      <c r="D20" s="41"/>
      <c r="E20" s="28"/>
      <c r="F20" s="17"/>
    </row>
    <row r="21" spans="1:6" ht="31.8" thickBot="1" x14ac:dyDescent="0.35">
      <c r="A21" s="26">
        <v>6</v>
      </c>
      <c r="B21" s="16" t="s">
        <v>35</v>
      </c>
      <c r="C21" s="33" t="s">
        <v>52</v>
      </c>
      <c r="D21" s="40"/>
      <c r="E21" s="24"/>
      <c r="F21" s="22"/>
    </row>
    <row r="22" spans="1:6" ht="31.8" thickBot="1" x14ac:dyDescent="0.35">
      <c r="A22" s="25">
        <v>7</v>
      </c>
      <c r="B22" s="31" t="s">
        <v>36</v>
      </c>
      <c r="C22" s="34" t="s">
        <v>53</v>
      </c>
      <c r="D22" s="41"/>
      <c r="E22" s="27"/>
      <c r="F22" s="17"/>
    </row>
    <row r="23" spans="1:6" ht="31.8" thickBot="1" x14ac:dyDescent="0.35">
      <c r="A23" s="26">
        <v>8</v>
      </c>
      <c r="B23" s="16" t="s">
        <v>37</v>
      </c>
      <c r="C23" s="33" t="s">
        <v>54</v>
      </c>
      <c r="D23" s="40"/>
      <c r="E23" s="24"/>
      <c r="F23" s="22"/>
    </row>
    <row r="24" spans="1:6" ht="16.2" thickBot="1" x14ac:dyDescent="0.35">
      <c r="A24" s="25">
        <v>9</v>
      </c>
      <c r="B24" s="31" t="s">
        <v>38</v>
      </c>
      <c r="C24" s="34" t="s">
        <v>55</v>
      </c>
      <c r="D24" s="41"/>
      <c r="E24" s="27"/>
      <c r="F24" s="17"/>
    </row>
    <row r="25" spans="1:6" ht="16.2" thickBot="1" x14ac:dyDescent="0.35">
      <c r="A25" s="26">
        <v>10</v>
      </c>
      <c r="B25" s="16" t="s">
        <v>39</v>
      </c>
      <c r="C25" s="33" t="s">
        <v>55</v>
      </c>
      <c r="D25" s="40"/>
      <c r="E25" s="24"/>
      <c r="F25" s="22"/>
    </row>
    <row r="26" spans="1:6" ht="16.2" thickBot="1" x14ac:dyDescent="0.35">
      <c r="A26" s="25">
        <v>11</v>
      </c>
      <c r="B26" s="31" t="s">
        <v>40</v>
      </c>
      <c r="C26" s="34" t="s">
        <v>52</v>
      </c>
      <c r="D26" s="41"/>
      <c r="E26" s="27"/>
      <c r="F26" s="17"/>
    </row>
    <row r="27" spans="1:6" ht="31.8" thickBot="1" x14ac:dyDescent="0.35">
      <c r="A27" s="26">
        <v>12</v>
      </c>
      <c r="B27" s="16" t="s">
        <v>41</v>
      </c>
      <c r="C27" s="33" t="s">
        <v>56</v>
      </c>
      <c r="D27" s="40"/>
      <c r="E27" s="24"/>
      <c r="F27" s="22"/>
    </row>
    <row r="28" spans="1:6" ht="31.8" thickBot="1" x14ac:dyDescent="0.35">
      <c r="A28" s="25">
        <v>13</v>
      </c>
      <c r="B28" s="31" t="s">
        <v>43</v>
      </c>
      <c r="C28" s="34" t="s">
        <v>57</v>
      </c>
      <c r="D28" s="41"/>
      <c r="E28" s="27"/>
      <c r="F28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takt-time</vt:lpstr>
      <vt:lpstr>machine-efficiency</vt:lpstr>
      <vt:lpstr>production-time</vt:lpstr>
      <vt:lpstr>machine-allocation</vt:lpstr>
      <vt:lpstr>production-time-calc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chin cheong</dc:creator>
  <cp:lastModifiedBy>justin chin cheong</cp:lastModifiedBy>
  <dcterms:created xsi:type="dcterms:W3CDTF">2025-12-11T13:56:40Z</dcterms:created>
  <dcterms:modified xsi:type="dcterms:W3CDTF">2025-12-11T17:11:39Z</dcterms:modified>
</cp:coreProperties>
</file>