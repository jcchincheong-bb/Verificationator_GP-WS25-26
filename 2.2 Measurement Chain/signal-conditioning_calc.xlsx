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AAB94E83-598B-45D5-8FB4-E242A781EFF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Gain INA + VGA" sheetId="2" r:id="rId1"/>
    <sheet name="nur INA" sheetId="1" r:id="rId2"/>
    <sheet name="M-Chain Battery Estimate" sheetId="4" r:id="rId3"/>
    <sheet name="PP Noise Estimate" sheetId="5" r:id="rId4"/>
    <sheet name="Load Cell Resolution" sheetId="6" r:id="rId5"/>
    <sheet name="Load Cell Current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2" i="4"/>
  <c r="B24" i="2"/>
  <c r="B13" i="2"/>
  <c r="F13" i="2"/>
  <c r="G13" i="2"/>
  <c r="H13" i="2"/>
  <c r="I13" i="2"/>
  <c r="J13" i="2"/>
  <c r="K13" i="2"/>
  <c r="C24" i="2"/>
  <c r="D24" i="2" s="1"/>
  <c r="F24" i="2" s="1"/>
  <c r="F3" i="5"/>
  <c r="F4" i="5" s="1"/>
  <c r="C23" i="2"/>
  <c r="C22" i="2"/>
  <c r="C21" i="2"/>
  <c r="C20" i="2"/>
  <c r="D20" i="2" s="1"/>
  <c r="F20" i="2" s="1"/>
  <c r="C19" i="2"/>
  <c r="D19" i="2" s="1"/>
  <c r="F19" i="2" s="1"/>
  <c r="C18" i="2"/>
  <c r="D18" i="2" s="1"/>
  <c r="F18" i="2" s="1"/>
  <c r="E23" i="2"/>
  <c r="D23" i="2"/>
  <c r="F23" i="2" s="1"/>
  <c r="E22" i="2"/>
  <c r="D22" i="2"/>
  <c r="F22" i="2" s="1"/>
  <c r="E21" i="2"/>
  <c r="D21" i="2"/>
  <c r="F21" i="2" s="1"/>
  <c r="E20" i="2"/>
  <c r="E19" i="2"/>
  <c r="E18" i="2"/>
  <c r="C8" i="2"/>
  <c r="D8" i="2" s="1"/>
  <c r="F8" i="2" s="1"/>
  <c r="G8" i="2" s="1"/>
  <c r="C9" i="2"/>
  <c r="D9" i="2" s="1"/>
  <c r="F9" i="2" s="1"/>
  <c r="C10" i="2"/>
  <c r="C11" i="2"/>
  <c r="C12" i="2"/>
  <c r="D12" i="2" s="1"/>
  <c r="F12" i="2" s="1"/>
  <c r="C7" i="2"/>
  <c r="D7" i="2" s="1"/>
  <c r="F7" i="2" s="1"/>
  <c r="H3" i="4"/>
  <c r="K4" i="4"/>
  <c r="H5" i="4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E11" i="2"/>
  <c r="E7" i="2"/>
  <c r="E9" i="2"/>
  <c r="E8" i="2"/>
  <c r="E10" i="2"/>
  <c r="E13" i="2"/>
  <c r="E12" i="2"/>
  <c r="D10" i="2"/>
  <c r="F10" i="2" s="1"/>
  <c r="D11" i="2"/>
  <c r="F11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G24" i="2" l="1"/>
  <c r="H24" i="2"/>
  <c r="I24" i="2" s="1"/>
  <c r="J24" i="2" s="1"/>
  <c r="K24" i="2" s="1"/>
  <c r="B4" i="6"/>
  <c r="B2" i="6"/>
  <c r="F5" i="5"/>
  <c r="B3" i="6"/>
  <c r="H20" i="2"/>
  <c r="I20" i="2" s="1"/>
  <c r="J20" i="2" s="1"/>
  <c r="K20" i="2" s="1"/>
  <c r="G20" i="2"/>
  <c r="H19" i="2"/>
  <c r="I19" i="2" s="1"/>
  <c r="J19" i="2" s="1"/>
  <c r="K19" i="2" s="1"/>
  <c r="G19" i="2"/>
  <c r="H22" i="2"/>
  <c r="I22" i="2" s="1"/>
  <c r="J22" i="2" s="1"/>
  <c r="K22" i="2" s="1"/>
  <c r="G22" i="2"/>
  <c r="H18" i="2"/>
  <c r="I18" i="2" s="1"/>
  <c r="J18" i="2" s="1"/>
  <c r="K18" i="2" s="1"/>
  <c r="G18" i="2"/>
  <c r="H23" i="2"/>
  <c r="I23" i="2" s="1"/>
  <c r="J23" i="2" s="1"/>
  <c r="K23" i="2" s="1"/>
  <c r="G23" i="2"/>
  <c r="H21" i="2"/>
  <c r="I21" i="2" s="1"/>
  <c r="J21" i="2" s="1"/>
  <c r="K21" i="2" s="1"/>
  <c r="G21" i="2"/>
  <c r="G7" i="2"/>
  <c r="H7" i="2"/>
  <c r="I7" i="2" s="1"/>
  <c r="J7" i="2" s="1"/>
  <c r="K7" i="2" s="1"/>
  <c r="G10" i="2"/>
  <c r="H10" i="2"/>
  <c r="I10" i="2" s="1"/>
  <c r="J10" i="2" s="1"/>
  <c r="K10" i="2" s="1"/>
  <c r="G12" i="2"/>
  <c r="H12" i="2"/>
  <c r="I12" i="2" s="1"/>
  <c r="J12" i="2" s="1"/>
  <c r="K12" i="2" s="1"/>
  <c r="G11" i="2"/>
  <c r="H11" i="2"/>
  <c r="I11" i="2" s="1"/>
  <c r="J11" i="2" s="1"/>
  <c r="K11" i="2" s="1"/>
  <c r="G9" i="2"/>
  <c r="H9" i="2"/>
  <c r="I9" i="2" s="1"/>
  <c r="J9" i="2" s="1"/>
  <c r="K9" i="2" s="1"/>
  <c r="H8" i="2"/>
  <c r="I8" i="2" s="1"/>
  <c r="J8" i="2" s="1"/>
  <c r="K8" i="2" s="1"/>
  <c r="C13" i="2"/>
  <c r="B7" i="6"/>
  <c r="B6" i="6"/>
  <c r="B5" i="6"/>
  <c r="D13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<sst xmlns="http://schemas.openxmlformats.org/spreadsheetml/2006/main" count="82" uniqueCount="60">
  <si>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</si>
  <si>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</si>
  <si>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</si>
  <si>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</si>
  <si>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</si>
  <si>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</si>
  <si>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</si>
  <si>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</si>
  <si>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</si>
  <si>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</si>
  <si>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</si>
  <si>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</si>
  <si>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</si>
  <si>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</si>
  <si>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</si>
  <si>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</si>
  <si>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</si>
  <si>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</si>
  <si>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</si>
  <si>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</si>
  <si>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</si>
  <si>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</si>
  <si>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</si>
  <si>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</si>
  <si>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</si>
  <si>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</si>
  <si>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</si>
  <si>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</si>
  <si>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</si>
  <si>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</si>
  <si>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</si>
  <si>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</si>
  <si>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</si>
  <si>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</si>
  <si>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</si>
  <si>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</si>
  <si>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</si>
  <si>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</si>
  <si>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</si>
  <si>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</si>
  <si>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</si>
  <si>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</si>
  <si>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</si>
  <si>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</si>
  <si>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</si>
  <si>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</si>
  <si>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</si>
  <si>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</si>
  <si>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</si>
  <si>
    <t>TFT LCD</t>
  </si>
  <si>
    <t>MCU</t>
  </si>
  <si>
    <t>Measurement Chain</t>
  </si>
  <si>
    <t>V_reg</t>
  </si>
  <si>
    <t>Extra</t>
  </si>
  <si>
    <t>Saturated Output [mV] @10V</t>
  </si>
  <si>
    <t>Required Gain @10V</t>
  </si>
  <si>
    <t>5V Excitation</t>
  </si>
  <si>
    <t>10V Excitation</t>
  </si>
  <si>
    <t>Average</t>
  </si>
  <si>
    <t>Complete 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</si>
</sst>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"/>
    <numFmt numFmtId="166" formatCode="0.000%"/>
    <numFmt numFmtId="167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2" fontId="0" fillId="0" borderId="0" xfId="0" applyNumberFormat="1"/>
    <xf numFmtId="2" fontId="0" fillId="0" borderId="0" xfId="0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 wrapText="1"/>
    </xf>
    <xf numFmtId="165" fontId="0" fillId="2" borderId="0" xfId="0" applyNumberFormat="1" applyFill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0" fillId="0" borderId="2" xfId="0" applyBorder="1"/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66" fontId="0" fillId="0" borderId="2" xfId="1" applyNumberFormat="1" applyFont="1" applyBorder="1"/>
    <xf numFmtId="0" fontId="0" fillId="0" borderId="3" xfId="0" applyBorder="1" applyAlignment="1">
      <alignment vertical="center" wrapText="1"/>
    </xf>
    <xf numFmtId="0" fontId="0" fillId="0" borderId="4" xfId="0" applyBorder="1"/>
    <xf numFmtId="0" fontId="0" fillId="0" borderId="6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0" borderId="3" xfId="0" applyBorder="1"/>
    <xf numFmtId="0" fontId="0" fillId="0" borderId="9" xfId="0" applyBorder="1"/>
    <xf numFmtId="167" fontId="0" fillId="0" borderId="8" xfId="0" applyNumberFormat="1" applyBorder="1"/>
    <xf numFmtId="164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5" xfId="0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24"/>
  <sheetViews>
    <sheetView workbookViewId="0">
      <selection activeCell="G8" sqref="G8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x14ac:dyDescent="0.3">
      <c r="A1" t="s">
        <v>12</v>
      </c>
      <c r="B1" s="1">
        <v>100</v>
      </c>
    </row>
    <row r="2" spans="1:11" x14ac:dyDescent="0.3">
      <c r="A2" t="s">
        <v>13</v>
      </c>
      <c r="B2">
        <v>4.99</v>
      </c>
    </row>
    <row r="3" spans="1:11" x14ac:dyDescent="0.3">
      <c r="A3" t="s">
        <v>16</v>
      </c>
      <c r="B3">
        <v>20</v>
      </c>
    </row>
    <row r="5" spans="1:11" s="8" customFormat="1" x14ac:dyDescent="0.3">
      <c r="A5" s="8" t="s">
        <v>56</v>
      </c>
    </row>
    <row r="6" spans="1:11" s="23" customFormat="1" ht="26.4" customHeight="1" x14ac:dyDescent="0.3">
      <c r="A6" s="21" t="s">
        <v>0</v>
      </c>
      <c r="B6" s="22" t="s">
        <v>1</v>
      </c>
      <c r="C6" s="22" t="s">
        <v>2</v>
      </c>
      <c r="D6" s="22" t="s">
        <v>3</v>
      </c>
      <c r="E6" s="22" t="s">
        <v>11</v>
      </c>
      <c r="F6" s="22" t="s">
        <v>14</v>
      </c>
      <c r="G6" s="22" t="s">
        <v>15</v>
      </c>
      <c r="H6" s="22" t="s">
        <v>17</v>
      </c>
      <c r="I6" s="22" t="s">
        <v>18</v>
      </c>
      <c r="J6" s="22" t="s">
        <v>19</v>
      </c>
      <c r="K6" s="22" t="s">
        <v>9</v>
      </c>
    </row>
    <row r="7" spans="1:11" x14ac:dyDescent="0.3">
      <c r="A7" s="19">
        <v>0.15</v>
      </c>
      <c r="B7" s="1">
        <v>3</v>
      </c>
      <c r="C7" s="1">
        <f>$B7*5</f>
        <v>15</v>
      </c>
      <c r="D7" s="6">
        <f t="shared" ref="D7:D12" si="0">5000/C7</f>
        <v>333.33333333333331</v>
      </c>
      <c r="E7">
        <f t="shared" ref="E7:E13" si="1">9.9/($B$1-1)</f>
        <v>0.1</v>
      </c>
      <c r="F7" s="5">
        <f t="shared" ref="F7:F12" si="2">D7/$B$1</f>
        <v>3.333333333333333</v>
      </c>
      <c r="G7" s="5">
        <f t="shared" ref="G7:G12" si="3">(F7-1)*$B$2</f>
        <v>11.643333333333333</v>
      </c>
      <c r="H7">
        <f t="shared" ref="H7:H12" si="4">1024*$B$2*(F7-1)/$B$3</f>
        <v>596.13866666666661</v>
      </c>
      <c r="I7">
        <f t="shared" ref="I7:I12" si="5">_xlfn.FLOOR.MATH(H7)</f>
        <v>596</v>
      </c>
      <c r="J7">
        <f t="shared" ref="J7:J12" si="6">1+ ((I7/1024)*$B$3)/$B$2</f>
        <v>3.3327905811623246</v>
      </c>
      <c r="K7" s="4">
        <f t="shared" ref="K7:K12" si="7">(F7-J7)/F7</f>
        <v>1.6282565130252281E-4</v>
      </c>
    </row>
    <row r="8" spans="1:11" x14ac:dyDescent="0.3">
      <c r="A8" s="19">
        <v>2</v>
      </c>
      <c r="B8" s="1">
        <v>2.35</v>
      </c>
      <c r="C8" s="1">
        <f t="shared" ref="C8:C12" si="8">$B8*5</f>
        <v>11.75</v>
      </c>
      <c r="D8" s="6">
        <f t="shared" si="0"/>
        <v>425.531914893617</v>
      </c>
      <c r="E8">
        <f t="shared" si="1"/>
        <v>0.1</v>
      </c>
      <c r="F8" s="5">
        <f t="shared" si="2"/>
        <v>4.2553191489361701</v>
      </c>
      <c r="G8" s="5">
        <f t="shared" si="3"/>
        <v>16.244042553191491</v>
      </c>
      <c r="H8">
        <f t="shared" si="4"/>
        <v>831.69497872340435</v>
      </c>
      <c r="I8">
        <f t="shared" si="5"/>
        <v>831</v>
      </c>
      <c r="J8">
        <f t="shared" si="6"/>
        <v>4.2525989478957911</v>
      </c>
      <c r="K8" s="4">
        <f t="shared" si="7"/>
        <v>6.3924724448908069E-4</v>
      </c>
    </row>
    <row r="9" spans="1:11" x14ac:dyDescent="0.3">
      <c r="A9" s="19">
        <v>20</v>
      </c>
      <c r="B9" s="1">
        <v>2.7</v>
      </c>
      <c r="C9" s="1">
        <f t="shared" si="8"/>
        <v>13.5</v>
      </c>
      <c r="D9" s="6">
        <f t="shared" si="0"/>
        <v>370.37037037037038</v>
      </c>
      <c r="E9">
        <f t="shared" si="1"/>
        <v>0.1</v>
      </c>
      <c r="F9" s="5">
        <f t="shared" si="2"/>
        <v>3.7037037037037037</v>
      </c>
      <c r="G9" s="5">
        <f t="shared" si="3"/>
        <v>13.491481481481483</v>
      </c>
      <c r="H9">
        <f t="shared" si="4"/>
        <v>690.76385185185188</v>
      </c>
      <c r="I9">
        <f t="shared" si="5"/>
        <v>690</v>
      </c>
      <c r="J9">
        <f t="shared" si="6"/>
        <v>3.7007139278557113</v>
      </c>
      <c r="K9" s="4">
        <f t="shared" si="7"/>
        <v>8.0723947895795507E-4</v>
      </c>
    </row>
    <row r="10" spans="1:11" x14ac:dyDescent="0.3">
      <c r="A10" s="19">
        <v>45</v>
      </c>
      <c r="B10" s="1">
        <v>3</v>
      </c>
      <c r="C10" s="1">
        <f t="shared" si="8"/>
        <v>15</v>
      </c>
      <c r="D10" s="6">
        <f t="shared" si="0"/>
        <v>333.33333333333331</v>
      </c>
      <c r="E10">
        <f t="shared" si="1"/>
        <v>0.1</v>
      </c>
      <c r="F10" s="5">
        <f t="shared" si="2"/>
        <v>3.333333333333333</v>
      </c>
      <c r="G10" s="5">
        <f t="shared" si="3"/>
        <v>11.643333333333333</v>
      </c>
      <c r="H10">
        <f t="shared" si="4"/>
        <v>596.13866666666661</v>
      </c>
      <c r="I10">
        <f t="shared" si="5"/>
        <v>596</v>
      </c>
      <c r="J10">
        <f t="shared" si="6"/>
        <v>3.3327905811623246</v>
      </c>
      <c r="K10" s="4">
        <f t="shared" si="7"/>
        <v>1.6282565130252281E-4</v>
      </c>
    </row>
    <row r="11" spans="1:11" x14ac:dyDescent="0.3">
      <c r="A11" s="19">
        <v>250</v>
      </c>
      <c r="B11" s="1">
        <v>3.25</v>
      </c>
      <c r="C11" s="1">
        <f t="shared" si="8"/>
        <v>16.25</v>
      </c>
      <c r="D11" s="6">
        <f t="shared" si="0"/>
        <v>307.69230769230768</v>
      </c>
      <c r="E11">
        <f t="shared" si="1"/>
        <v>0.1</v>
      </c>
      <c r="F11" s="5">
        <f t="shared" si="2"/>
        <v>3.0769230769230766</v>
      </c>
      <c r="G11" s="5">
        <f t="shared" si="3"/>
        <v>10.363846153846152</v>
      </c>
      <c r="H11">
        <f t="shared" si="4"/>
        <v>530.628923076923</v>
      </c>
      <c r="I11">
        <f t="shared" si="5"/>
        <v>530</v>
      </c>
      <c r="J11">
        <f t="shared" si="6"/>
        <v>3.0744614228456912</v>
      </c>
      <c r="K11" s="4">
        <f t="shared" si="7"/>
        <v>8.0003757515025866E-4</v>
      </c>
    </row>
    <row r="12" spans="1:11" x14ac:dyDescent="0.3">
      <c r="A12" s="19">
        <v>3000</v>
      </c>
      <c r="B12" s="1">
        <v>2.8</v>
      </c>
      <c r="C12" s="1">
        <f t="shared" si="8"/>
        <v>14</v>
      </c>
      <c r="D12" s="6">
        <f t="shared" si="0"/>
        <v>357.14285714285717</v>
      </c>
      <c r="E12">
        <f t="shared" si="1"/>
        <v>0.1</v>
      </c>
      <c r="F12" s="5">
        <f t="shared" si="2"/>
        <v>3.5714285714285716</v>
      </c>
      <c r="G12" s="5">
        <f t="shared" si="3"/>
        <v>12.831428571428573</v>
      </c>
      <c r="H12">
        <f t="shared" si="4"/>
        <v>656.96914285714297</v>
      </c>
      <c r="I12">
        <f t="shared" si="5"/>
        <v>656</v>
      </c>
      <c r="J12">
        <f t="shared" si="6"/>
        <v>3.5676352705410821</v>
      </c>
      <c r="K12" s="4">
        <f t="shared" si="7"/>
        <v>1.0621242484970671E-3</v>
      </c>
    </row>
    <row r="13" spans="1:11" s="11" customFormat="1" x14ac:dyDescent="0.3">
      <c r="A13" s="20" t="s">
        <v>58</v>
      </c>
      <c r="B13" s="12">
        <f>AVERAGE(B7:B12)</f>
        <v>2.85</v>
      </c>
      <c r="C13" s="12">
        <f>AVERAGE(C7:C12)</f>
        <v>14.25</v>
      </c>
      <c r="D13" s="13">
        <f>AVERAGE(D7:D12)</f>
        <v>354.56735279430313</v>
      </c>
      <c r="E13" s="11">
        <f t="shared" si="1"/>
        <v>0.1</v>
      </c>
      <c r="F13" s="11">
        <f t="shared" ref="F13:K13" si="9">9.9/($B$1-1)</f>
        <v>0.1</v>
      </c>
      <c r="G13" s="11">
        <f t="shared" si="9"/>
        <v>0.1</v>
      </c>
      <c r="H13" s="11">
        <f t="shared" si="9"/>
        <v>0.1</v>
      </c>
      <c r="I13" s="11">
        <f t="shared" si="9"/>
        <v>0.1</v>
      </c>
      <c r="J13" s="11">
        <f t="shared" si="9"/>
        <v>0.1</v>
      </c>
      <c r="K13" s="11">
        <f t="shared" si="9"/>
        <v>0.1</v>
      </c>
    </row>
    <row r="14" spans="1:11" s="7" customFormat="1" x14ac:dyDescent="0.3">
      <c r="B14" s="9"/>
      <c r="C14" s="9"/>
      <c r="D14" s="10"/>
    </row>
    <row r="15" spans="1:11" s="7" customFormat="1" x14ac:dyDescent="0.3"/>
    <row r="16" spans="1:11" s="8" customFormat="1" x14ac:dyDescent="0.3">
      <c r="A16" s="8" t="s">
        <v>57</v>
      </c>
    </row>
    <row r="17" spans="1:11" s="23" customFormat="1" ht="28.8" x14ac:dyDescent="0.3">
      <c r="A17" s="21" t="s">
        <v>0</v>
      </c>
      <c r="B17" s="22" t="s">
        <v>1</v>
      </c>
      <c r="C17" s="22" t="s">
        <v>54</v>
      </c>
      <c r="D17" s="22" t="s">
        <v>55</v>
      </c>
      <c r="E17" s="22" t="s">
        <v>11</v>
      </c>
      <c r="F17" s="22" t="s">
        <v>14</v>
      </c>
      <c r="G17" s="22" t="s">
        <v>15</v>
      </c>
      <c r="H17" s="22" t="s">
        <v>17</v>
      </c>
      <c r="I17" s="22" t="s">
        <v>18</v>
      </c>
      <c r="J17" s="22" t="s">
        <v>19</v>
      </c>
      <c r="K17" s="22" t="s">
        <v>9</v>
      </c>
    </row>
    <row r="18" spans="1:11" x14ac:dyDescent="0.3">
      <c r="A18" s="19">
        <v>0.15</v>
      </c>
      <c r="B18" s="1">
        <v>3</v>
      </c>
      <c r="C18" s="1">
        <f>$B18*10</f>
        <v>30</v>
      </c>
      <c r="D18" s="6">
        <f t="shared" ref="D18:D24" si="10">5000/C18</f>
        <v>166.66666666666666</v>
      </c>
      <c r="E18">
        <f t="shared" ref="E18:E23" si="11">9.9/($B$1-1)</f>
        <v>0.1</v>
      </c>
      <c r="F18" s="5">
        <f t="shared" ref="F18:F24" si="12">D18/$B$1</f>
        <v>1.6666666666666665</v>
      </c>
      <c r="G18" s="5">
        <f t="shared" ref="G18:G24" si="13">(F18-1)*$B$2</f>
        <v>3.3266666666666662</v>
      </c>
      <c r="H18">
        <f t="shared" ref="H18:H24" si="14">1024*$B$2*(F18-1)/$B$3</f>
        <v>170.3253333333333</v>
      </c>
      <c r="I18">
        <f t="shared" ref="I18:I24" si="15">_xlfn.FLOOR.MATH(H18)</f>
        <v>170</v>
      </c>
      <c r="J18">
        <f t="shared" ref="J18:J24" si="16">1+ ((I18/1024)*$B$3)/$B$2</f>
        <v>1.6653932865731462</v>
      </c>
      <c r="K18" s="4">
        <f t="shared" ref="K18:K24" si="17">(F18-J18)/F18</f>
        <v>7.6402805611217603E-4</v>
      </c>
    </row>
    <row r="19" spans="1:11" x14ac:dyDescent="0.3">
      <c r="A19" s="19">
        <v>2</v>
      </c>
      <c r="B19" s="1">
        <v>2.35</v>
      </c>
      <c r="C19" s="1">
        <f t="shared" ref="C19:C23" si="18">$B19*10</f>
        <v>23.5</v>
      </c>
      <c r="D19" s="6">
        <f t="shared" si="10"/>
        <v>212.7659574468085</v>
      </c>
      <c r="E19">
        <f t="shared" si="11"/>
        <v>0.1</v>
      </c>
      <c r="F19" s="5">
        <f t="shared" si="12"/>
        <v>2.1276595744680851</v>
      </c>
      <c r="G19" s="5">
        <f t="shared" si="13"/>
        <v>5.6270212765957446</v>
      </c>
      <c r="H19">
        <f t="shared" si="14"/>
        <v>288.10348936170215</v>
      </c>
      <c r="I19">
        <f t="shared" si="15"/>
        <v>288</v>
      </c>
      <c r="J19">
        <f t="shared" si="16"/>
        <v>2.1272545090180359</v>
      </c>
      <c r="K19" s="4">
        <f t="shared" si="17"/>
        <v>1.9038076152309903E-4</v>
      </c>
    </row>
    <row r="20" spans="1:11" x14ac:dyDescent="0.3">
      <c r="A20" s="19">
        <v>20</v>
      </c>
      <c r="B20" s="1">
        <v>2.7</v>
      </c>
      <c r="C20" s="1">
        <f t="shared" si="18"/>
        <v>27</v>
      </c>
      <c r="D20" s="6">
        <f t="shared" si="10"/>
        <v>185.18518518518519</v>
      </c>
      <c r="E20">
        <f t="shared" si="11"/>
        <v>0.1</v>
      </c>
      <c r="F20" s="5">
        <f t="shared" si="12"/>
        <v>1.8518518518518519</v>
      </c>
      <c r="G20" s="5">
        <f t="shared" si="13"/>
        <v>4.2507407407407412</v>
      </c>
      <c r="H20">
        <f t="shared" si="14"/>
        <v>217.63792592592594</v>
      </c>
      <c r="I20">
        <f t="shared" si="15"/>
        <v>217</v>
      </c>
      <c r="J20">
        <f t="shared" si="16"/>
        <v>1.8493549599198396</v>
      </c>
      <c r="K20" s="4">
        <f t="shared" si="17"/>
        <v>1.3483216432866429E-3</v>
      </c>
    </row>
    <row r="21" spans="1:11" x14ac:dyDescent="0.3">
      <c r="A21" s="19">
        <v>45</v>
      </c>
      <c r="B21" s="1">
        <v>3</v>
      </c>
      <c r="C21" s="1">
        <f t="shared" si="18"/>
        <v>30</v>
      </c>
      <c r="D21" s="6">
        <f t="shared" si="10"/>
        <v>166.66666666666666</v>
      </c>
      <c r="E21">
        <f t="shared" si="11"/>
        <v>0.1</v>
      </c>
      <c r="F21" s="5">
        <f t="shared" si="12"/>
        <v>1.6666666666666665</v>
      </c>
      <c r="G21" s="5">
        <f t="shared" si="13"/>
        <v>3.3266666666666662</v>
      </c>
      <c r="H21">
        <f t="shared" si="14"/>
        <v>170.3253333333333</v>
      </c>
      <c r="I21">
        <f t="shared" si="15"/>
        <v>170</v>
      </c>
      <c r="J21">
        <f t="shared" si="16"/>
        <v>1.6653932865731462</v>
      </c>
      <c r="K21" s="4">
        <f t="shared" si="17"/>
        <v>7.6402805611217603E-4</v>
      </c>
    </row>
    <row r="22" spans="1:11" x14ac:dyDescent="0.3">
      <c r="A22" s="19">
        <v>250</v>
      </c>
      <c r="B22" s="1">
        <v>3.25</v>
      </c>
      <c r="C22" s="1">
        <f t="shared" si="18"/>
        <v>32.5</v>
      </c>
      <c r="D22" s="6">
        <f t="shared" si="10"/>
        <v>153.84615384615384</v>
      </c>
      <c r="E22">
        <f t="shared" si="11"/>
        <v>0.1</v>
      </c>
      <c r="F22" s="5">
        <f t="shared" si="12"/>
        <v>1.5384615384615383</v>
      </c>
      <c r="G22" s="5">
        <f t="shared" si="13"/>
        <v>2.6869230769230765</v>
      </c>
      <c r="H22">
        <f t="shared" si="14"/>
        <v>137.57046153846153</v>
      </c>
      <c r="I22">
        <f t="shared" si="15"/>
        <v>137</v>
      </c>
      <c r="J22">
        <f t="shared" si="16"/>
        <v>1.5362287074148298</v>
      </c>
      <c r="K22" s="4">
        <f t="shared" si="17"/>
        <v>1.4513401803605719E-3</v>
      </c>
    </row>
    <row r="23" spans="1:11" x14ac:dyDescent="0.3">
      <c r="A23" s="19">
        <v>3000</v>
      </c>
      <c r="B23" s="1">
        <v>2.8</v>
      </c>
      <c r="C23" s="1">
        <f t="shared" si="18"/>
        <v>28</v>
      </c>
      <c r="D23" s="6">
        <f t="shared" si="10"/>
        <v>178.57142857142858</v>
      </c>
      <c r="E23">
        <f t="shared" si="11"/>
        <v>0.1</v>
      </c>
      <c r="F23" s="5">
        <f t="shared" si="12"/>
        <v>1.7857142857142858</v>
      </c>
      <c r="G23" s="5">
        <f t="shared" si="13"/>
        <v>3.9207142857142863</v>
      </c>
      <c r="H23">
        <f t="shared" si="14"/>
        <v>200.74057142857146</v>
      </c>
      <c r="I23">
        <f t="shared" si="15"/>
        <v>200</v>
      </c>
      <c r="J23">
        <f t="shared" si="16"/>
        <v>1.7828156312625252</v>
      </c>
      <c r="K23" s="4">
        <f t="shared" si="17"/>
        <v>1.6232464929859525E-3</v>
      </c>
    </row>
    <row r="24" spans="1:11" s="14" customFormat="1" x14ac:dyDescent="0.3">
      <c r="A24" s="24" t="s">
        <v>58</v>
      </c>
      <c r="B24" s="15">
        <f>AVERAGE(B18:B23)</f>
        <v>2.85</v>
      </c>
      <c r="C24" s="15">
        <f>AVERAGE(C18:C23)</f>
        <v>28.5</v>
      </c>
      <c r="D24" s="16">
        <f t="shared" si="10"/>
        <v>175.43859649122808</v>
      </c>
      <c r="F24" s="17">
        <f t="shared" si="12"/>
        <v>1.7543859649122808</v>
      </c>
      <c r="G24" s="17">
        <f t="shared" si="13"/>
        <v>3.7643859649122815</v>
      </c>
      <c r="H24" s="14">
        <f t="shared" si="14"/>
        <v>192.7365614035088</v>
      </c>
      <c r="I24" s="14">
        <f t="shared" si="15"/>
        <v>192</v>
      </c>
      <c r="J24" s="14">
        <f t="shared" si="16"/>
        <v>1.751503006012024</v>
      </c>
      <c r="K24" s="18">
        <f t="shared" si="17"/>
        <v>1.6432865731463785E-3</v>
      </c>
    </row>
  </sheetData>
  <sortState xmlns:xlrd2="http://schemas.microsoft.com/office/spreadsheetml/2017/richdata2" ref="A7:K12">
    <sortCondition ref="A7:A1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K12"/>
  <sheetViews>
    <sheetView workbookViewId="0">
      <selection activeCell="I10" sqref="I10"/>
    </sheetView>
  </sheetViews>
  <sheetFormatPr defaultRowHeight="14.4" x14ac:dyDescent="0.3"/>
  <cols>
    <col min="1" max="1" width="13" style="26" customWidth="1"/>
    <col min="2" max="2" width="10.88671875" customWidth="1"/>
    <col min="3" max="3" width="11.77734375" customWidth="1"/>
    <col min="4" max="4" width="8.88671875" style="26"/>
    <col min="7" max="7" width="13.6640625" customWidth="1"/>
    <col min="10" max="10" width="11.109375" customWidth="1"/>
  </cols>
  <sheetData>
    <row r="1" spans="1:11" x14ac:dyDescent="0.3">
      <c r="A1" s="25" t="s">
        <v>23</v>
      </c>
      <c r="B1" s="23" t="s">
        <v>24</v>
      </c>
      <c r="C1" s="23" t="s">
        <v>25</v>
      </c>
      <c r="D1" s="25" t="s">
        <v>48</v>
      </c>
      <c r="G1" s="8" t="s">
        <v>59</v>
      </c>
      <c r="H1" s="8"/>
      <c r="J1" s="8" t="s">
        <v>51</v>
      </c>
      <c r="K1" s="8"/>
    </row>
    <row r="2" spans="1:11" x14ac:dyDescent="0.3">
      <c r="A2" s="26" t="s">
        <v>27</v>
      </c>
      <c r="B2">
        <v>14.28</v>
      </c>
      <c r="C2">
        <v>28.57</v>
      </c>
      <c r="G2" t="s">
        <v>35</v>
      </c>
      <c r="H2">
        <f>SUM(B2:B100)</f>
        <v>416.351</v>
      </c>
      <c r="J2" t="s">
        <v>35</v>
      </c>
      <c r="K2">
        <f>SUM(B3:B8)</f>
        <v>9.0710000000000015</v>
      </c>
    </row>
    <row r="3" spans="1:11" x14ac:dyDescent="0.3">
      <c r="A3" s="26" t="s">
        <v>28</v>
      </c>
      <c r="B3">
        <v>5</v>
      </c>
      <c r="C3">
        <v>6</v>
      </c>
      <c r="D3" s="26">
        <v>6</v>
      </c>
      <c r="G3" t="s">
        <v>36</v>
      </c>
      <c r="H3">
        <f>SUM(C2:C100)</f>
        <v>39.391999999999996</v>
      </c>
      <c r="J3" t="s">
        <v>36</v>
      </c>
      <c r="K3">
        <f>SUM(C3:C8)</f>
        <v>10.822000000000001</v>
      </c>
    </row>
    <row r="4" spans="1:11" x14ac:dyDescent="0.3">
      <c r="A4" s="26" t="s">
        <v>29</v>
      </c>
      <c r="B4">
        <v>2</v>
      </c>
      <c r="C4">
        <v>2.2999999999999998</v>
      </c>
      <c r="D4" s="26">
        <v>3</v>
      </c>
      <c r="G4" t="s">
        <v>26</v>
      </c>
      <c r="H4">
        <v>5000</v>
      </c>
      <c r="J4" t="s">
        <v>47</v>
      </c>
      <c r="K4">
        <f>SUM(D3:D8)</f>
        <v>14.005000000000001</v>
      </c>
    </row>
    <row r="5" spans="1:11" x14ac:dyDescent="0.3">
      <c r="A5" s="26" t="s">
        <v>30</v>
      </c>
      <c r="B5">
        <v>0.45</v>
      </c>
      <c r="C5">
        <v>0.51</v>
      </c>
      <c r="D5" s="26">
        <v>1</v>
      </c>
      <c r="G5" t="s">
        <v>33</v>
      </c>
      <c r="H5">
        <f>H4/H3</f>
        <v>126.92932575142162</v>
      </c>
    </row>
    <row r="6" spans="1:11" x14ac:dyDescent="0.3">
      <c r="A6" s="26" t="s">
        <v>31</v>
      </c>
      <c r="B6">
        <v>1E-3</v>
      </c>
      <c r="C6">
        <v>2E-3</v>
      </c>
      <c r="D6" s="26">
        <v>5.0000000000000001E-3</v>
      </c>
      <c r="G6" t="s">
        <v>32</v>
      </c>
      <c r="H6">
        <f>H4/H2</f>
        <v>12.009098092715041</v>
      </c>
    </row>
    <row r="7" spans="1:11" x14ac:dyDescent="0.3">
      <c r="A7" s="26" t="s">
        <v>34</v>
      </c>
      <c r="B7">
        <v>1.24</v>
      </c>
      <c r="C7">
        <v>1.43</v>
      </c>
      <c r="D7" s="26">
        <v>3</v>
      </c>
    </row>
    <row r="8" spans="1:11" x14ac:dyDescent="0.3">
      <c r="A8" s="26" t="s">
        <v>37</v>
      </c>
      <c r="B8">
        <v>0.38</v>
      </c>
      <c r="C8">
        <v>0.57999999999999996</v>
      </c>
      <c r="D8" s="26">
        <v>1</v>
      </c>
    </row>
    <row r="9" spans="1:11" x14ac:dyDescent="0.3">
      <c r="A9" s="26" t="s">
        <v>49</v>
      </c>
      <c r="B9">
        <v>160</v>
      </c>
    </row>
    <row r="10" spans="1:11" x14ac:dyDescent="0.3">
      <c r="A10" s="26" t="s">
        <v>50</v>
      </c>
      <c r="B10">
        <v>200</v>
      </c>
    </row>
    <row r="11" spans="1:11" x14ac:dyDescent="0.3">
      <c r="A11" s="26" t="s">
        <v>52</v>
      </c>
      <c r="B11">
        <v>8</v>
      </c>
    </row>
    <row r="12" spans="1:11" x14ac:dyDescent="0.3">
      <c r="A12" s="26" t="s">
        <v>53</v>
      </c>
      <c r="B12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E10" sqref="E10"/>
    </sheetView>
  </sheetViews>
  <sheetFormatPr defaultRowHeight="14.4" x14ac:dyDescent="0.3"/>
  <cols>
    <col min="1" max="1" width="8.88671875" style="26"/>
    <col min="3" max="3" width="8.88671875" style="26"/>
    <col min="5" max="5" width="19.5546875" customWidth="1"/>
  </cols>
  <sheetData>
    <row r="1" spans="1:6" x14ac:dyDescent="0.3">
      <c r="A1" s="25" t="s">
        <v>23</v>
      </c>
      <c r="B1" s="23" t="s">
        <v>39</v>
      </c>
      <c r="C1" s="25" t="s">
        <v>40</v>
      </c>
    </row>
    <row r="2" spans="1:6" x14ac:dyDescent="0.3">
      <c r="A2" s="26" t="s">
        <v>38</v>
      </c>
      <c r="B2">
        <v>5.0118700000000005E-4</v>
      </c>
      <c r="C2" s="26">
        <v>1</v>
      </c>
    </row>
    <row r="3" spans="1:6" x14ac:dyDescent="0.3">
      <c r="A3" s="26" t="s">
        <v>29</v>
      </c>
      <c r="B3">
        <v>7.0000000000000007E-2</v>
      </c>
      <c r="C3" s="26">
        <v>100</v>
      </c>
      <c r="E3" t="s">
        <v>42</v>
      </c>
      <c r="F3">
        <f>((B2+B3)*C3+B4)*C4 + B5 +B6</f>
        <v>40.343905662000004</v>
      </c>
    </row>
    <row r="4" spans="1:6" x14ac:dyDescent="0.3">
      <c r="A4" s="26" t="s">
        <v>30</v>
      </c>
      <c r="B4">
        <v>0.25</v>
      </c>
      <c r="C4" s="26">
        <v>4.26</v>
      </c>
      <c r="E4" t="s">
        <v>43</v>
      </c>
      <c r="F4">
        <f>5000000/F3</f>
        <v>123934.45597185969</v>
      </c>
    </row>
    <row r="5" spans="1:6" x14ac:dyDescent="0.3">
      <c r="A5" s="26" t="s">
        <v>41</v>
      </c>
      <c r="B5">
        <v>6.3954000000000004</v>
      </c>
      <c r="C5" s="26">
        <v>1</v>
      </c>
      <c r="E5" t="s">
        <v>44</v>
      </c>
      <c r="F5">
        <f>LOG(F4,2)</f>
        <v>16.919217812432162</v>
      </c>
    </row>
    <row r="6" spans="1:6" x14ac:dyDescent="0.3">
      <c r="A6" s="26" t="s">
        <v>46</v>
      </c>
      <c r="B6">
        <v>2.85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workbookViewId="0">
      <selection activeCell="D8" sqref="D8"/>
    </sheetView>
  </sheetViews>
  <sheetFormatPr defaultRowHeight="14.4" x14ac:dyDescent="0.3"/>
  <cols>
    <col min="1" max="1" width="8.88671875" style="26"/>
    <col min="2" max="2" width="13.6640625" style="31" bestFit="1" customWidth="1"/>
  </cols>
  <sheetData>
    <row r="1" spans="1:2" ht="28.8" x14ac:dyDescent="0.3">
      <c r="A1" s="21" t="s">
        <v>0</v>
      </c>
      <c r="B1" s="27" t="s">
        <v>45</v>
      </c>
    </row>
    <row r="2" spans="1:2" x14ac:dyDescent="0.3">
      <c r="A2" s="19">
        <v>0.15</v>
      </c>
      <c r="B2" s="28">
        <f>(A2/'PP Noise Estimate'!$F$4)*1000</f>
        <v>1.21031716986E-3</v>
      </c>
    </row>
    <row r="3" spans="1:2" x14ac:dyDescent="0.3">
      <c r="A3" s="19">
        <v>2</v>
      </c>
      <c r="B3" s="29">
        <f>(A3/'PP Noise Estimate'!$F$4)*1000</f>
        <v>1.6137562264800002E-2</v>
      </c>
    </row>
    <row r="4" spans="1:2" x14ac:dyDescent="0.3">
      <c r="A4" s="19">
        <v>20</v>
      </c>
      <c r="B4" s="30">
        <f>(A4/'PP Noise Estimate'!$F$4)*1000</f>
        <v>0.16137562264800001</v>
      </c>
    </row>
    <row r="5" spans="1:2" x14ac:dyDescent="0.3">
      <c r="A5" s="19">
        <v>45</v>
      </c>
      <c r="B5" s="30">
        <f>(A5/'PP Noise Estimate'!$F$4)*1000</f>
        <v>0.36309515095800005</v>
      </c>
    </row>
    <row r="6" spans="1:2" x14ac:dyDescent="0.3">
      <c r="A6" s="19">
        <v>250</v>
      </c>
      <c r="B6" s="30">
        <f>(A6/'PP Noise Estimate'!$F$4)*1000</f>
        <v>2.0171952831000004</v>
      </c>
    </row>
    <row r="7" spans="1:2" x14ac:dyDescent="0.3">
      <c r="A7" s="19">
        <v>3000</v>
      </c>
      <c r="B7" s="30">
        <f>(A7/'PP Noise Estimate'!$F$4)*1000</f>
        <v>24.206343397200001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activeCell="F6" sqref="F6"/>
    </sheetView>
  </sheetViews>
  <sheetFormatPr defaultRowHeight="14.4" x14ac:dyDescent="0.3"/>
  <cols>
    <col min="1" max="1" width="8.88671875" style="26"/>
    <col min="2" max="2" width="15.21875" customWidth="1"/>
    <col min="3" max="3" width="12" customWidth="1"/>
    <col min="4" max="4" width="11.109375" style="26" customWidth="1"/>
  </cols>
  <sheetData>
    <row r="1" spans="1:4" ht="43.2" x14ac:dyDescent="0.3">
      <c r="A1" s="21" t="s">
        <v>0</v>
      </c>
      <c r="B1" s="32" t="s">
        <v>22</v>
      </c>
      <c r="C1" s="23" t="s">
        <v>20</v>
      </c>
      <c r="D1" s="25" t="s">
        <v>21</v>
      </c>
    </row>
    <row r="2" spans="1:4" x14ac:dyDescent="0.3">
      <c r="A2" s="19">
        <v>0.15</v>
      </c>
      <c r="B2">
        <v>350</v>
      </c>
      <c r="C2">
        <f>5/$B2 * 1000</f>
        <v>14.285714285714285</v>
      </c>
      <c r="D2" s="26">
        <f>10/$B2 * 1000</f>
        <v>28.571428571428569</v>
      </c>
    </row>
    <row r="3" spans="1:4" x14ac:dyDescent="0.3">
      <c r="A3" s="19">
        <v>2</v>
      </c>
      <c r="B3">
        <v>350</v>
      </c>
      <c r="C3">
        <f t="shared" ref="C3:C7" si="0">5/$B3 * 1000</f>
        <v>14.285714285714285</v>
      </c>
      <c r="D3" s="26">
        <f t="shared" ref="D3:D7" si="1">10/$B3 * 1000</f>
        <v>28.571428571428569</v>
      </c>
    </row>
    <row r="4" spans="1:4" x14ac:dyDescent="0.3">
      <c r="A4" s="19">
        <v>20</v>
      </c>
      <c r="B4">
        <v>175</v>
      </c>
      <c r="C4">
        <f t="shared" si="0"/>
        <v>28.571428571428569</v>
      </c>
      <c r="D4" s="26">
        <f t="shared" si="1"/>
        <v>57.142857142857139</v>
      </c>
    </row>
    <row r="5" spans="1:4" x14ac:dyDescent="0.3">
      <c r="A5" s="19">
        <v>45</v>
      </c>
      <c r="B5">
        <v>350</v>
      </c>
      <c r="C5">
        <f t="shared" si="0"/>
        <v>14.285714285714285</v>
      </c>
      <c r="D5" s="26">
        <f t="shared" si="1"/>
        <v>28.571428571428569</v>
      </c>
    </row>
    <row r="6" spans="1:4" x14ac:dyDescent="0.3">
      <c r="A6" s="19">
        <v>250</v>
      </c>
      <c r="B6">
        <v>175</v>
      </c>
      <c r="C6">
        <f t="shared" si="0"/>
        <v>28.571428571428569</v>
      </c>
      <c r="D6" s="26">
        <f t="shared" si="1"/>
        <v>57.142857142857139</v>
      </c>
    </row>
    <row r="7" spans="1:4" x14ac:dyDescent="0.3">
      <c r="A7" s="19">
        <v>3000</v>
      </c>
      <c r="B7">
        <v>175</v>
      </c>
      <c r="C7">
        <f t="shared" si="0"/>
        <v>28.571428571428569</v>
      </c>
      <c r="D7" s="26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Gain INA + VGA</vt:lpstr>
      <vt:lpstr>nur INA</vt:lpstr>
      <vt:lpstr>M-Chain Battery Estimate</vt:lpstr>
      <vt:lpstr>PP Noise Estimate</vt:lpstr>
      <vt:lpstr>Load Cell Resolution</vt:lpstr>
      <vt:lpstr>Load Cell Current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2025-11-26T20:23:15Z</dcterms:modified>
</cp:coreProperties>
</file>