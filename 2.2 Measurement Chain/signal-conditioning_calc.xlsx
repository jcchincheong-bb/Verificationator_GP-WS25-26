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2.2 Measurement Chain\"/>
    </mc:Choice>
  </mc:AlternateContent>
  <xr:revisionPtr revIDLastSave="0" documentId="13_ncr:1_{B6F1DA83-CF69-492B-B476-57BE5E9724A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A + VGA" sheetId="2" r:id="rId1"/>
    <sheet name="Battery Estimate" sheetId="4" r:id="rId2"/>
    <sheet name="Load Cell Current" sheetId="3" r:id="rId3"/>
    <sheet name="nur IN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K3" i="4"/>
  <c r="H6" i="4"/>
  <c r="H3" i="4"/>
  <c r="H5" i="4" s="1"/>
  <c r="H2" i="4"/>
  <c r="D3" i="3"/>
  <c r="D4" i="3"/>
  <c r="D5" i="3"/>
  <c r="D6" i="3"/>
  <c r="D7" i="3"/>
  <c r="D2" i="3"/>
  <c r="C3" i="3"/>
  <c r="C4" i="3"/>
  <c r="C5" i="3"/>
  <c r="C6" i="3"/>
  <c r="C7" i="3"/>
  <c r="C2" i="3"/>
  <c r="J3" i="1"/>
  <c r="J4" i="1"/>
  <c r="J5" i="1"/>
  <c r="J6" i="1"/>
  <c r="J7" i="1"/>
  <c r="J2" i="1"/>
  <c r="K3" i="2"/>
  <c r="K4" i="2"/>
  <c r="K5" i="2"/>
  <c r="K6" i="2"/>
  <c r="K7" i="2"/>
  <c r="K2" i="2"/>
  <c r="J3" i="2"/>
  <c r="J4" i="2"/>
  <c r="J5" i="2"/>
  <c r="J6" i="2"/>
  <c r="J7" i="2"/>
  <c r="J2" i="2"/>
  <c r="I3" i="2"/>
  <c r="I4" i="2"/>
  <c r="I5" i="2"/>
  <c r="I6" i="2"/>
  <c r="I7" i="2"/>
  <c r="I2" i="2"/>
  <c r="H3" i="2"/>
  <c r="H4" i="2"/>
  <c r="H5" i="2"/>
  <c r="H6" i="2"/>
  <c r="H7" i="2"/>
  <c r="H2" i="2"/>
  <c r="F3" i="2"/>
  <c r="G3" i="2" s="1"/>
  <c r="F4" i="2"/>
  <c r="G4" i="2" s="1"/>
  <c r="F5" i="2"/>
  <c r="G5" i="2" s="1"/>
  <c r="F6" i="2"/>
  <c r="G6" i="2" s="1"/>
  <c r="F7" i="2"/>
  <c r="G7" i="2" s="1"/>
  <c r="F2" i="2"/>
  <c r="G2" i="2" s="1"/>
  <c r="E3" i="2"/>
  <c r="E4" i="2"/>
  <c r="E5" i="2"/>
  <c r="E6" i="2"/>
  <c r="E7" i="2"/>
  <c r="E8" i="2"/>
  <c r="E2" i="2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I10" i="1"/>
  <c r="H10" i="1"/>
  <c r="C3" i="1"/>
  <c r="D3" i="1" s="1"/>
  <c r="C4" i="1"/>
  <c r="D4" i="1" s="1"/>
  <c r="C5" i="1"/>
  <c r="D5" i="1" s="1"/>
  <c r="C6" i="1"/>
  <c r="D6" i="1" s="1"/>
  <c r="C7" i="1"/>
  <c r="D7" i="1" s="1"/>
  <c r="E7" i="1" s="1"/>
  <c r="C2" i="1"/>
  <c r="D2" i="1" s="1"/>
  <c r="F2" i="1" s="1"/>
  <c r="D8" i="2" l="1"/>
  <c r="E6" i="1"/>
  <c r="F6" i="1"/>
  <c r="F5" i="1"/>
  <c r="E5" i="1"/>
  <c r="E3" i="1"/>
  <c r="F3" i="1"/>
  <c r="F4" i="1"/>
  <c r="E4" i="1"/>
  <c r="D8" i="1"/>
  <c r="E8" i="1" s="1"/>
  <c r="E2" i="1"/>
  <c r="F7" i="1"/>
  <c r="G3" i="1" l="1"/>
  <c r="G6" i="1"/>
  <c r="G4" i="1"/>
  <c r="G5" i="1"/>
  <c r="G7" i="1"/>
  <c r="G2" i="1"/>
  <c r="H3" i="1" l="1"/>
  <c r="H2" i="1"/>
  <c r="H6" i="1"/>
  <c r="H4" i="1"/>
  <c r="H7" i="1"/>
  <c r="H5" i="1"/>
  <c r="I2" i="1"/>
  <c r="I7" i="1"/>
  <c r="I4" i="1"/>
  <c r="I6" i="1"/>
  <c r="I5" i="1"/>
  <c r="I3" i="1"/>
</calcChain>
</file>

<file path=xl/sharedStrings.xml><?xml version="1.0" encoding="utf-8"?>
<sst xmlns="http://schemas.openxmlformats.org/spreadsheetml/2006/main" count="46" uniqueCount="38">
  <si>
    <t>Load Cell [kgf]</t>
  </si>
  <si>
    <t>Sensitivity [mV/V]</t>
  </si>
  <si>
    <t>Saturated Output [mV] @5V</t>
  </si>
  <si>
    <t>Required Gain @5V</t>
  </si>
  <si>
    <t>RG [kOhm]</t>
  </si>
  <si>
    <t>Remaining Gain (Min approach)</t>
  </si>
  <si>
    <t>Remaining Gain (Averaging Approach)</t>
  </si>
  <si>
    <t>Upper Remaining Gain (Averaging Approach)</t>
  </si>
  <si>
    <t>Lower Remaining Gain (Averaging Approach)</t>
  </si>
  <si>
    <t>Gain Error</t>
  </si>
  <si>
    <t>Tol</t>
  </si>
  <si>
    <t>INA RG [kOhm]</t>
  </si>
  <si>
    <t xml:space="preserve">Using INA gain of </t>
  </si>
  <si>
    <t>R2 [kOhm]</t>
  </si>
  <si>
    <t>Remaining Gain (VGA)</t>
  </si>
  <si>
    <t>VGA RF [kOhm]</t>
  </si>
  <si>
    <t>RT [kOhm]</t>
  </si>
  <si>
    <t>VGA D (absolute) [-]</t>
  </si>
  <si>
    <t>VGA D (rounded) [-]</t>
  </si>
  <si>
    <t>Actual VGA Gain</t>
  </si>
  <si>
    <t>I @5V [mA]</t>
  </si>
  <si>
    <t>I @10V [mA]</t>
  </si>
  <si>
    <t>Bridge Resistance [Ohm]</t>
  </si>
  <si>
    <t>Component</t>
  </si>
  <si>
    <t>I_typ [mA]</t>
  </si>
  <si>
    <t>I_max [mA]</t>
  </si>
  <si>
    <t>Capacity</t>
  </si>
  <si>
    <t>Load Cell</t>
  </si>
  <si>
    <t>LDO</t>
  </si>
  <si>
    <t>INA</t>
  </si>
  <si>
    <t>OPAMP</t>
  </si>
  <si>
    <t>Digi Poti</t>
  </si>
  <si>
    <t>Estimate Typ [h]</t>
  </si>
  <si>
    <t>Estimate Min [h]</t>
  </si>
  <si>
    <t>DS ADC</t>
  </si>
  <si>
    <t>Total I_typ</t>
  </si>
  <si>
    <t>Total I_max</t>
  </si>
  <si>
    <t>VREF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</si>
</sst>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166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E15B-76DB-48AD-8A28-EECC0E4E87EC}">
  <dimension ref="A1:K13"/>
  <sheetViews>
    <sheetView workbookViewId="0">
      <selection sqref="A1:A7"/>
    </sheetView>
  </sheetViews>
  <sheetFormatPr defaultRowHeight="14.4" x14ac:dyDescent="0.3"/>
  <cols>
    <col min="1" max="1" width="15.77734375" customWidth="1"/>
    <col min="2" max="2" width="14.21875" customWidth="1"/>
    <col min="3" max="3" width="17.77734375" customWidth="1"/>
    <col min="4" max="4" width="21.21875" customWidth="1"/>
    <col min="5" max="5" width="14.6640625" bestFit="1" customWidth="1"/>
    <col min="6" max="6" width="25.33203125" customWidth="1"/>
    <col min="7" max="9" width="19.6640625" customWidth="1"/>
    <col min="10" max="10" width="14.6640625" customWidth="1"/>
  </cols>
  <sheetData>
    <row r="1" spans="1:1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14</v>
      </c>
      <c r="G1" s="1" t="s">
        <v>15</v>
      </c>
      <c r="H1" s="1" t="s">
        <v>17</v>
      </c>
      <c r="I1" s="1" t="s">
        <v>18</v>
      </c>
      <c r="J1" s="1" t="s">
        <v>19</v>
      </c>
      <c r="K1" s="1" t="s">
        <v>9</v>
      </c>
    </row>
    <row r="2" spans="1:11" x14ac:dyDescent="0.3">
      <c r="A2" s="1">
        <v>3000</v>
      </c>
      <c r="B2" s="1">
        <v>2.8</v>
      </c>
      <c r="C2" s="1">
        <f>B2*5</f>
        <v>14</v>
      </c>
      <c r="D2" s="1">
        <f>5000/C2</f>
        <v>357.14285714285717</v>
      </c>
      <c r="E2">
        <f>9.9/($B$10-1)</f>
        <v>0.1</v>
      </c>
      <c r="F2">
        <f>D2/$B$10</f>
        <v>3.5714285714285716</v>
      </c>
      <c r="G2">
        <f>(F2-1)*$B$12</f>
        <v>12.831428571428573</v>
      </c>
      <c r="H2">
        <f>1024*$B$12*(F2-1)/$B$13</f>
        <v>656.96914285714297</v>
      </c>
      <c r="I2">
        <f>_xlfn.FLOOR.MATH(H2)</f>
        <v>656</v>
      </c>
      <c r="J2">
        <f>1+ ((I2/1024)*$B$13)/$B$12</f>
        <v>3.5676352705410821</v>
      </c>
      <c r="K2" s="4">
        <f>(F2-J2)/F2</f>
        <v>1.0621242484970671E-3</v>
      </c>
    </row>
    <row r="3" spans="1:11" x14ac:dyDescent="0.3">
      <c r="A3" s="1">
        <v>250</v>
      </c>
      <c r="B3" s="1">
        <v>3.25</v>
      </c>
      <c r="C3" s="1">
        <f t="shared" ref="C3:C7" si="0">B3*5</f>
        <v>16.25</v>
      </c>
      <c r="D3" s="1">
        <f t="shared" ref="D3:D7" si="1">5000/C3</f>
        <v>307.69230769230768</v>
      </c>
      <c r="E3">
        <f t="shared" ref="E3:E8" si="2">9.9/($B$10-1)</f>
        <v>0.1</v>
      </c>
      <c r="F3">
        <f t="shared" ref="F3:F7" si="3">D3/$B$10</f>
        <v>3.0769230769230766</v>
      </c>
      <c r="G3">
        <f t="shared" ref="G3:G7" si="4">(F3-1)*$B$12</f>
        <v>10.363846153846152</v>
      </c>
      <c r="H3">
        <f t="shared" ref="H3:H7" si="5">1024*$B$12*(F3-1)/$B$13</f>
        <v>530.628923076923</v>
      </c>
      <c r="I3">
        <f t="shared" ref="I3:I7" si="6">_xlfn.FLOOR.MATH(H3)</f>
        <v>530</v>
      </c>
      <c r="J3">
        <f t="shared" ref="J3:J7" si="7">1+ ((I3/1024)*$B$13)/$B$12</f>
        <v>3.0744614228456912</v>
      </c>
      <c r="K3" s="4">
        <f t="shared" ref="K3:K7" si="8">(F3-J3)/F3</f>
        <v>8.0003757515025866E-4</v>
      </c>
    </row>
    <row r="4" spans="1:11" x14ac:dyDescent="0.3">
      <c r="A4" s="1">
        <v>0.15</v>
      </c>
      <c r="B4" s="1">
        <v>3</v>
      </c>
      <c r="C4" s="1">
        <f t="shared" si="0"/>
        <v>15</v>
      </c>
      <c r="D4" s="1">
        <f t="shared" si="1"/>
        <v>333.33333333333331</v>
      </c>
      <c r="E4">
        <f t="shared" si="2"/>
        <v>0.1</v>
      </c>
      <c r="F4">
        <f t="shared" si="3"/>
        <v>3.333333333333333</v>
      </c>
      <c r="G4">
        <f t="shared" si="4"/>
        <v>11.643333333333333</v>
      </c>
      <c r="H4">
        <f t="shared" si="5"/>
        <v>596.13866666666661</v>
      </c>
      <c r="I4">
        <f t="shared" si="6"/>
        <v>596</v>
      </c>
      <c r="J4">
        <f t="shared" si="7"/>
        <v>3.3327905811623246</v>
      </c>
      <c r="K4" s="4">
        <f t="shared" si="8"/>
        <v>1.6282565130252281E-4</v>
      </c>
    </row>
    <row r="5" spans="1:11" x14ac:dyDescent="0.3">
      <c r="A5" s="1">
        <v>20</v>
      </c>
      <c r="B5" s="1">
        <v>2.7</v>
      </c>
      <c r="C5" s="1">
        <f t="shared" si="0"/>
        <v>13.5</v>
      </c>
      <c r="D5" s="1">
        <f t="shared" si="1"/>
        <v>370.37037037037038</v>
      </c>
      <c r="E5">
        <f t="shared" si="2"/>
        <v>0.1</v>
      </c>
      <c r="F5">
        <f t="shared" si="3"/>
        <v>3.7037037037037037</v>
      </c>
      <c r="G5">
        <f t="shared" si="4"/>
        <v>13.491481481481483</v>
      </c>
      <c r="H5">
        <f t="shared" si="5"/>
        <v>690.76385185185188</v>
      </c>
      <c r="I5">
        <f t="shared" si="6"/>
        <v>690</v>
      </c>
      <c r="J5">
        <f t="shared" si="7"/>
        <v>3.7007139278557113</v>
      </c>
      <c r="K5" s="4">
        <f t="shared" si="8"/>
        <v>8.0723947895795507E-4</v>
      </c>
    </row>
    <row r="6" spans="1:11" x14ac:dyDescent="0.3">
      <c r="A6" s="1">
        <v>2</v>
      </c>
      <c r="B6" s="1">
        <v>2.35</v>
      </c>
      <c r="C6" s="1">
        <f t="shared" si="0"/>
        <v>11.75</v>
      </c>
      <c r="D6" s="1">
        <f t="shared" si="1"/>
        <v>425.531914893617</v>
      </c>
      <c r="E6">
        <f t="shared" si="2"/>
        <v>0.1</v>
      </c>
      <c r="F6">
        <f t="shared" si="3"/>
        <v>4.2553191489361701</v>
      </c>
      <c r="G6">
        <f t="shared" si="4"/>
        <v>16.244042553191491</v>
      </c>
      <c r="H6">
        <f t="shared" si="5"/>
        <v>831.69497872340435</v>
      </c>
      <c r="I6">
        <f t="shared" si="6"/>
        <v>831</v>
      </c>
      <c r="J6">
        <f t="shared" si="7"/>
        <v>4.2525989478957911</v>
      </c>
      <c r="K6" s="4">
        <f t="shared" si="8"/>
        <v>6.3924724448908069E-4</v>
      </c>
    </row>
    <row r="7" spans="1:11" x14ac:dyDescent="0.3">
      <c r="A7" s="1">
        <v>45</v>
      </c>
      <c r="B7" s="1">
        <v>3</v>
      </c>
      <c r="C7" s="1">
        <f t="shared" si="0"/>
        <v>15</v>
      </c>
      <c r="D7" s="1">
        <f t="shared" si="1"/>
        <v>333.33333333333331</v>
      </c>
      <c r="E7">
        <f t="shared" si="2"/>
        <v>0.1</v>
      </c>
      <c r="F7">
        <f t="shared" si="3"/>
        <v>3.333333333333333</v>
      </c>
      <c r="G7">
        <f t="shared" si="4"/>
        <v>11.643333333333333</v>
      </c>
      <c r="H7">
        <f t="shared" si="5"/>
        <v>596.13866666666661</v>
      </c>
      <c r="I7">
        <f t="shared" si="6"/>
        <v>596</v>
      </c>
      <c r="J7">
        <f t="shared" si="7"/>
        <v>3.3327905811623246</v>
      </c>
      <c r="K7" s="4">
        <f t="shared" si="8"/>
        <v>1.6282565130252281E-4</v>
      </c>
    </row>
    <row r="8" spans="1:11" x14ac:dyDescent="0.3">
      <c r="D8" s="3">
        <f>AVERAGE(D2:D7)</f>
        <v>354.56735279430319</v>
      </c>
      <c r="E8">
        <f t="shared" si="2"/>
        <v>0.1</v>
      </c>
    </row>
    <row r="10" spans="1:11" x14ac:dyDescent="0.3">
      <c r="A10" t="s">
        <v>12</v>
      </c>
      <c r="B10" s="1">
        <v>100</v>
      </c>
    </row>
    <row r="12" spans="1:11" x14ac:dyDescent="0.3">
      <c r="A12" t="s">
        <v>13</v>
      </c>
      <c r="B12">
        <v>4.99</v>
      </c>
    </row>
    <row r="13" spans="1:11" x14ac:dyDescent="0.3">
      <c r="A13" t="s">
        <v>16</v>
      </c>
      <c r="B1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3221-315D-4403-8AB8-0BEE10775D1A}">
  <dimension ref="A1:K8"/>
  <sheetViews>
    <sheetView tabSelected="1" workbookViewId="0">
      <selection activeCell="H11" sqref="H11"/>
    </sheetView>
  </sheetViews>
  <sheetFormatPr defaultRowHeight="14.4" x14ac:dyDescent="0.3"/>
  <cols>
    <col min="1" max="1" width="13" customWidth="1"/>
    <col min="2" max="2" width="10.88671875" customWidth="1"/>
    <col min="3" max="3" width="11.77734375" customWidth="1"/>
    <col min="7" max="7" width="13.6640625" customWidth="1"/>
  </cols>
  <sheetData>
    <row r="1" spans="1:11" x14ac:dyDescent="0.3">
      <c r="A1" t="s">
        <v>23</v>
      </c>
      <c r="B1" t="s">
        <v>24</v>
      </c>
      <c r="C1" t="s">
        <v>25</v>
      </c>
    </row>
    <row r="2" spans="1:11" x14ac:dyDescent="0.3">
      <c r="A2" t="s">
        <v>27</v>
      </c>
      <c r="B2">
        <v>14.28</v>
      </c>
      <c r="C2">
        <v>28.57</v>
      </c>
      <c r="G2" t="s">
        <v>35</v>
      </c>
      <c r="H2">
        <f>SUM(B2:B100)</f>
        <v>22.256</v>
      </c>
      <c r="J2" t="s">
        <v>35</v>
      </c>
      <c r="K2">
        <f>SUM(B3:B100)</f>
        <v>7.976</v>
      </c>
    </row>
    <row r="3" spans="1:11" x14ac:dyDescent="0.3">
      <c r="A3" t="s">
        <v>28</v>
      </c>
      <c r="B3">
        <v>5</v>
      </c>
      <c r="C3">
        <v>6</v>
      </c>
      <c r="G3" t="s">
        <v>36</v>
      </c>
      <c r="H3">
        <f>SUM(C2:C100)</f>
        <v>38.121999999999993</v>
      </c>
      <c r="J3" t="s">
        <v>36</v>
      </c>
      <c r="K3">
        <f>SUM(C3:C100)</f>
        <v>9.5520000000000014</v>
      </c>
    </row>
    <row r="4" spans="1:11" x14ac:dyDescent="0.3">
      <c r="A4" t="s">
        <v>29</v>
      </c>
      <c r="B4">
        <v>2</v>
      </c>
      <c r="C4">
        <v>2.2999999999999998</v>
      </c>
      <c r="G4" t="s">
        <v>26</v>
      </c>
      <c r="H4">
        <v>5000</v>
      </c>
    </row>
    <row r="5" spans="1:11" x14ac:dyDescent="0.3">
      <c r="A5" t="s">
        <v>30</v>
      </c>
      <c r="B5">
        <v>0.45</v>
      </c>
      <c r="C5">
        <v>0.51</v>
      </c>
      <c r="G5" t="s">
        <v>33</v>
      </c>
      <c r="H5">
        <f>H4/H3</f>
        <v>131.15786160222447</v>
      </c>
    </row>
    <row r="6" spans="1:11" x14ac:dyDescent="0.3">
      <c r="A6" t="s">
        <v>31</v>
      </c>
      <c r="B6">
        <v>1E-3</v>
      </c>
      <c r="C6">
        <v>2E-3</v>
      </c>
      <c r="G6" t="s">
        <v>32</v>
      </c>
      <c r="H6">
        <f>H4/H2</f>
        <v>224.65851905104242</v>
      </c>
    </row>
    <row r="7" spans="1:11" x14ac:dyDescent="0.3">
      <c r="A7" t="s">
        <v>34</v>
      </c>
      <c r="B7">
        <v>0.14499999999999999</v>
      </c>
      <c r="C7">
        <v>0.16</v>
      </c>
    </row>
    <row r="8" spans="1:11" x14ac:dyDescent="0.3">
      <c r="A8" t="s">
        <v>37</v>
      </c>
      <c r="B8">
        <v>0.38</v>
      </c>
      <c r="C8">
        <v>0.57999999999999996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FB42-0A8F-436F-9B31-E7D1096635CF}">
  <dimension ref="A1:D7"/>
  <sheetViews>
    <sheetView workbookViewId="0">
      <selection sqref="A1:XFD1"/>
    </sheetView>
  </sheetViews>
  <sheetFormatPr defaultRowHeight="14.4" x14ac:dyDescent="0.3"/>
  <cols>
    <col min="2" max="2" width="15.21875" customWidth="1"/>
    <col min="3" max="3" width="12" customWidth="1"/>
    <col min="4" max="4" width="11.109375" customWidth="1"/>
  </cols>
  <sheetData>
    <row r="1" spans="1:4" ht="43.2" x14ac:dyDescent="0.3">
      <c r="A1" s="1" t="s">
        <v>0</v>
      </c>
      <c r="B1" s="5" t="s">
        <v>22</v>
      </c>
      <c r="C1" t="s">
        <v>20</v>
      </c>
      <c r="D1" t="s">
        <v>21</v>
      </c>
    </row>
    <row r="2" spans="1:4" x14ac:dyDescent="0.3">
      <c r="A2" s="1">
        <v>0.15</v>
      </c>
      <c r="B2">
        <v>350</v>
      </c>
      <c r="C2">
        <f>5/$B2 * 1000</f>
        <v>14.285714285714285</v>
      </c>
      <c r="D2">
        <f>10/$B2 * 1000</f>
        <v>28.571428571428569</v>
      </c>
    </row>
    <row r="3" spans="1:4" x14ac:dyDescent="0.3">
      <c r="A3" s="1">
        <v>2</v>
      </c>
      <c r="B3">
        <v>350</v>
      </c>
      <c r="C3">
        <f t="shared" ref="C3:C7" si="0">5/$B3 * 1000</f>
        <v>14.285714285714285</v>
      </c>
      <c r="D3">
        <f t="shared" ref="D3:D7" si="1">10/$B3 * 1000</f>
        <v>28.571428571428569</v>
      </c>
    </row>
    <row r="4" spans="1:4" x14ac:dyDescent="0.3">
      <c r="A4" s="1">
        <v>20</v>
      </c>
      <c r="B4">
        <v>175</v>
      </c>
      <c r="C4">
        <f t="shared" si="0"/>
        <v>28.571428571428569</v>
      </c>
      <c r="D4">
        <f t="shared" si="1"/>
        <v>57.142857142857139</v>
      </c>
    </row>
    <row r="5" spans="1:4" x14ac:dyDescent="0.3">
      <c r="A5" s="1">
        <v>45</v>
      </c>
      <c r="B5">
        <v>350</v>
      </c>
      <c r="C5">
        <f t="shared" si="0"/>
        <v>14.285714285714285</v>
      </c>
      <c r="D5">
        <f t="shared" si="1"/>
        <v>28.571428571428569</v>
      </c>
    </row>
    <row r="6" spans="1:4" x14ac:dyDescent="0.3">
      <c r="A6" s="1">
        <v>250</v>
      </c>
      <c r="B6">
        <v>175</v>
      </c>
      <c r="C6">
        <f t="shared" si="0"/>
        <v>28.571428571428569</v>
      </c>
      <c r="D6">
        <f t="shared" si="1"/>
        <v>57.142857142857139</v>
      </c>
    </row>
    <row r="7" spans="1:4" x14ac:dyDescent="0.3">
      <c r="A7" s="1">
        <v>3000</v>
      </c>
      <c r="B7">
        <v>175</v>
      </c>
      <c r="C7">
        <f t="shared" si="0"/>
        <v>28.571428571428569</v>
      </c>
      <c r="D7">
        <f t="shared" si="1"/>
        <v>57.142857142857139</v>
      </c>
    </row>
  </sheetData>
  <sortState xmlns:xlrd2="http://schemas.microsoft.com/office/spreadsheetml/2017/richdata2" ref="A2:B7">
    <sortCondition ref="A1:A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J4" sqref="J4"/>
    </sheetView>
  </sheetViews>
  <sheetFormatPr defaultRowHeight="14.4" x14ac:dyDescent="0.3"/>
  <cols>
    <col min="1" max="1" width="21.77734375" customWidth="1"/>
    <col min="2" max="2" width="20" customWidth="1"/>
    <col min="3" max="3" width="24" customWidth="1"/>
    <col min="4" max="4" width="21.21875" customWidth="1"/>
    <col min="5" max="5" width="14.6640625" bestFit="1" customWidth="1"/>
    <col min="6" max="6" width="25.33203125" customWidth="1"/>
    <col min="7" max="9" width="19.6640625" customWidth="1"/>
  </cols>
  <sheetData>
    <row r="1" spans="1:10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9</v>
      </c>
    </row>
    <row r="2" spans="1:10" x14ac:dyDescent="0.3">
      <c r="A2" s="1">
        <v>3000</v>
      </c>
      <c r="B2" s="1">
        <v>2.8</v>
      </c>
      <c r="C2" s="1">
        <f>B2*5</f>
        <v>14</v>
      </c>
      <c r="D2" s="1">
        <f>5000/C2</f>
        <v>357.14285714285717</v>
      </c>
      <c r="E2">
        <f t="shared" ref="E2:E8" si="0">9.9/(D2-1)</f>
        <v>2.779783393501805E-2</v>
      </c>
      <c r="F2">
        <f t="shared" ref="F2:F7" si="1">D2/301</f>
        <v>1.1865211200759374</v>
      </c>
      <c r="G2">
        <f>D2/$D$8</f>
        <v>1.0072637943912679</v>
      </c>
      <c r="H2">
        <f>D2/$H$10</f>
        <v>0.99721928140791782</v>
      </c>
      <c r="I2">
        <f>D2/$I$10</f>
        <v>1.0173077408120386</v>
      </c>
      <c r="J2" s="4">
        <f>MAX(D2-$H$10,D2-$I$10)/D2</f>
        <v>1.7013279382129758E-2</v>
      </c>
    </row>
    <row r="3" spans="1:10" x14ac:dyDescent="0.3">
      <c r="A3" s="1">
        <v>250</v>
      </c>
      <c r="B3" s="1">
        <v>3.25</v>
      </c>
      <c r="C3" s="1">
        <f t="shared" ref="C3:C7" si="2">B3*5</f>
        <v>16.25</v>
      </c>
      <c r="D3" s="1">
        <f t="shared" ref="D3:D7" si="3">5000/C3</f>
        <v>307.69230769230768</v>
      </c>
      <c r="E3">
        <f t="shared" si="0"/>
        <v>3.2279909706546275E-2</v>
      </c>
      <c r="F3">
        <f t="shared" si="1"/>
        <v>1.0222335803731153</v>
      </c>
      <c r="G3">
        <f t="shared" ref="G3:G7" si="4">D3/$D$8</f>
        <v>0.86779649978324613</v>
      </c>
      <c r="H3">
        <f t="shared" ref="H3:H7" si="5">D3/$H$10</f>
        <v>0.8591427655206676</v>
      </c>
      <c r="I3">
        <f t="shared" ref="I3:I7" si="6">D3/$I$10</f>
        <v>0.8764497459303715</v>
      </c>
      <c r="J3" s="4">
        <f t="shared" ref="J3:J7" si="7">MAX(D3-$H$10,D3-$I$10)/D3</f>
        <v>-0.14096672928859952</v>
      </c>
    </row>
    <row r="4" spans="1:10" x14ac:dyDescent="0.3">
      <c r="A4" s="1">
        <v>0.15</v>
      </c>
      <c r="B4" s="1">
        <v>3</v>
      </c>
      <c r="C4" s="1">
        <f t="shared" si="2"/>
        <v>15</v>
      </c>
      <c r="D4" s="1">
        <f t="shared" si="3"/>
        <v>333.33333333333331</v>
      </c>
      <c r="E4">
        <f t="shared" si="0"/>
        <v>2.978936810431294E-2</v>
      </c>
      <c r="F4">
        <f t="shared" si="1"/>
        <v>1.1074197120708749</v>
      </c>
      <c r="G4">
        <f t="shared" si="4"/>
        <v>0.94011287476518324</v>
      </c>
      <c r="H4">
        <f t="shared" si="5"/>
        <v>0.93073799598072315</v>
      </c>
      <c r="I4">
        <f t="shared" si="6"/>
        <v>0.94948722475790248</v>
      </c>
      <c r="J4" s="4">
        <f t="shared" si="7"/>
        <v>-5.3200057804861103E-2</v>
      </c>
    </row>
    <row r="5" spans="1:10" x14ac:dyDescent="0.3">
      <c r="A5" s="1">
        <v>20</v>
      </c>
      <c r="B5" s="1">
        <v>2.7</v>
      </c>
      <c r="C5" s="1">
        <f t="shared" si="2"/>
        <v>13.5</v>
      </c>
      <c r="D5" s="1">
        <f t="shared" si="3"/>
        <v>370.37037037037038</v>
      </c>
      <c r="E5">
        <f t="shared" si="0"/>
        <v>2.6802366389250976E-2</v>
      </c>
      <c r="F5">
        <f t="shared" si="1"/>
        <v>1.2304663467454164</v>
      </c>
      <c r="G5">
        <f t="shared" si="4"/>
        <v>1.0445698608502036</v>
      </c>
      <c r="H5">
        <f t="shared" si="5"/>
        <v>1.0341533288674702</v>
      </c>
      <c r="I5">
        <f t="shared" si="6"/>
        <v>1.0549858052865584</v>
      </c>
      <c r="J5" s="4">
        <f t="shared" si="7"/>
        <v>5.2119947975625087E-2</v>
      </c>
    </row>
    <row r="6" spans="1:10" x14ac:dyDescent="0.3">
      <c r="A6" s="1">
        <v>2</v>
      </c>
      <c r="B6" s="1">
        <v>2.35</v>
      </c>
      <c r="C6" s="1">
        <f t="shared" si="2"/>
        <v>11.75</v>
      </c>
      <c r="D6" s="1">
        <f t="shared" si="3"/>
        <v>425.531914893617</v>
      </c>
      <c r="E6">
        <f t="shared" si="0"/>
        <v>2.3319801533603971E-2</v>
      </c>
      <c r="F6">
        <f t="shared" si="1"/>
        <v>1.4137272920053721</v>
      </c>
      <c r="G6">
        <f t="shared" si="4"/>
        <v>1.2001440954449147</v>
      </c>
      <c r="H6">
        <f t="shared" si="5"/>
        <v>1.1881761650817744</v>
      </c>
      <c r="I6">
        <f t="shared" si="6"/>
        <v>1.2121113507547692</v>
      </c>
      <c r="J6" s="4">
        <f t="shared" si="7"/>
        <v>0.1749932880528588</v>
      </c>
    </row>
    <row r="7" spans="1:10" x14ac:dyDescent="0.3">
      <c r="A7" s="1">
        <v>45</v>
      </c>
      <c r="B7" s="1">
        <v>3</v>
      </c>
      <c r="C7" s="1">
        <f t="shared" si="2"/>
        <v>15</v>
      </c>
      <c r="D7" s="1">
        <f t="shared" si="3"/>
        <v>333.33333333333331</v>
      </c>
      <c r="E7">
        <f t="shared" si="0"/>
        <v>2.978936810431294E-2</v>
      </c>
      <c r="F7">
        <f t="shared" si="1"/>
        <v>1.1074197120708749</v>
      </c>
      <c r="G7">
        <f t="shared" si="4"/>
        <v>0.94011287476518324</v>
      </c>
      <c r="H7">
        <f t="shared" si="5"/>
        <v>0.93073799598072315</v>
      </c>
      <c r="I7">
        <f t="shared" si="6"/>
        <v>0.94948722475790248</v>
      </c>
      <c r="J7" s="4">
        <f t="shared" si="7"/>
        <v>-5.3200057804861103E-2</v>
      </c>
    </row>
    <row r="8" spans="1:10" x14ac:dyDescent="0.3">
      <c r="D8" s="3">
        <f>AVERAGE(D2:D7)</f>
        <v>354.56735279430319</v>
      </c>
      <c r="E8" s="2">
        <f t="shared" si="0"/>
        <v>2.80003227723335E-2</v>
      </c>
    </row>
    <row r="10" spans="1:10" x14ac:dyDescent="0.3">
      <c r="H10">
        <f>9.9/($E$8-$E$8*$I$11) + 1</f>
        <v>358.13874019626581</v>
      </c>
      <c r="I10">
        <f>9.9/($E$8+$E$8*$I$11) + 1</f>
        <v>351.06668593495368</v>
      </c>
    </row>
    <row r="11" spans="1:10" x14ac:dyDescent="0.3">
      <c r="H11" t="s">
        <v>10</v>
      </c>
      <c r="I1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INA + VGA</vt:lpstr>
      <vt:lpstr>Battery Estimate</vt:lpstr>
      <vt:lpstr>Load Cell Current</vt:lpstr>
      <vt:lpstr>nur 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BeanieBabyJ</dc:creator>
  <cp:lastModifiedBy>justin chin cheong</cp:lastModifiedBy>
  <dcterms:created xsi:type="dcterms:W3CDTF">2015-06-05T18:17:20Z</dcterms:created>
  <dcterms:modified xsi:type="dcterms:W3CDTF">2025-11-20T17:58:06Z</dcterms:modified>
</cp:coreProperties>
</file>