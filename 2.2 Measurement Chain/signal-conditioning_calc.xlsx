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C2FE21C4-555F-4E15-A848-0BEDCFC995FC}" xr6:coauthVersionLast="47" xr6:coauthVersionMax="47" xr10:uidLastSave="{00000000-0000-0000-0000-000000000000}"/>
  <bookViews>
    <workbookView xWindow="11520" yWindow="0" windowWidth="11520" windowHeight="12360" activeTab="2" xr2:uid="{00000000-000D-0000-FFFF-FFFF00000000}"/>
  </bookViews>
  <sheets>
    <sheet name="INA + VGA" sheetId="2" r:id="rId1"/>
    <sheet name="Battery Estimate" sheetId="4" r:id="rId2"/>
    <sheet name="PP Noise Estimate" sheetId="5" r:id="rId3"/>
    <sheet name="Load Cell Current" sheetId="3" r:id="rId4"/>
    <sheet name="nur INA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K2" i="4"/>
  <c r="K3" i="4"/>
  <c r="H6" i="4"/>
  <c r="H3" i="4"/>
  <c r="H5" i="4" s="1"/>
  <c r="H2" i="4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K3" i="2"/>
  <c r="K4" i="2"/>
  <c r="K5" i="2"/>
  <c r="K6" i="2"/>
  <c r="K7" i="2"/>
  <c r="K2" i="2"/>
  <c r="J3" i="2"/>
  <c r="J4" i="2"/>
  <c r="J5" i="2"/>
  <c r="J6" i="2"/>
  <c r="J7" i="2"/>
  <c r="J2" i="2"/>
  <c r="I3" i="2"/>
  <c r="I4" i="2"/>
  <c r="I5" i="2"/>
  <c r="I6" i="2"/>
  <c r="I7" i="2"/>
  <c r="I2" i="2"/>
  <c r="H3" i="2"/>
  <c r="H4" i="2"/>
  <c r="H5" i="2"/>
  <c r="H6" i="2"/>
  <c r="H7" i="2"/>
  <c r="H2" i="2"/>
  <c r="F3" i="2"/>
  <c r="G3" i="2" s="1"/>
  <c r="F4" i="2"/>
  <c r="G4" i="2" s="1"/>
  <c r="F5" i="2"/>
  <c r="G5" i="2" s="1"/>
  <c r="F6" i="2"/>
  <c r="G6" i="2" s="1"/>
  <c r="F7" i="2"/>
  <c r="G7" i="2" s="1"/>
  <c r="F2" i="2"/>
  <c r="G2" i="2" s="1"/>
  <c r="E3" i="2"/>
  <c r="E4" i="2"/>
  <c r="E5" i="2"/>
  <c r="E6" i="2"/>
  <c r="E7" i="2"/>
  <c r="E8" i="2"/>
  <c r="E2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D8" i="2" l="1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<sst xmlns="http://schemas.openxmlformats.org/spreadsheetml/2006/main" count="54" uniqueCount="43">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</sst>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13"/>
  <sheetViews>
    <sheetView workbookViewId="0">
      <selection activeCell="J5" sqref="J5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9</v>
      </c>
    </row>
    <row r="2" spans="1:11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>9.9/($B$10-1)</f>
        <v>0.1</v>
      </c>
      <c r="F2">
        <f>D2/$B$10</f>
        <v>3.5714285714285716</v>
      </c>
      <c r="G2">
        <f>(F2-1)*$B$12</f>
        <v>12.831428571428573</v>
      </c>
      <c r="H2">
        <f>1024*$B$12*(F2-1)/$B$13</f>
        <v>656.96914285714297</v>
      </c>
      <c r="I2">
        <f>_xlfn.FLOOR.MATH(H2)</f>
        <v>656</v>
      </c>
      <c r="J2">
        <f>1+ ((I2/1024)*$B$13)/$B$12</f>
        <v>3.5676352705410821</v>
      </c>
      <c r="K2" s="4">
        <f>(F2-J2)/F2</f>
        <v>1.0621242484970671E-3</v>
      </c>
    </row>
    <row r="3" spans="1:11" x14ac:dyDescent="0.3">
      <c r="A3" s="1">
        <v>250</v>
      </c>
      <c r="B3" s="1">
        <v>3.25</v>
      </c>
      <c r="C3" s="1">
        <f t="shared" ref="C3:C7" si="0">B3*5</f>
        <v>16.25</v>
      </c>
      <c r="D3" s="1">
        <f t="shared" ref="D3:D7" si="1">5000/C3</f>
        <v>307.69230769230768</v>
      </c>
      <c r="E3">
        <f t="shared" ref="E3:E8" si="2">9.9/($B$10-1)</f>
        <v>0.1</v>
      </c>
      <c r="F3">
        <f t="shared" ref="F3:F7" si="3">D3/$B$10</f>
        <v>3.0769230769230766</v>
      </c>
      <c r="G3">
        <f t="shared" ref="G3:G7" si="4">(F3-1)*$B$12</f>
        <v>10.363846153846152</v>
      </c>
      <c r="H3">
        <f t="shared" ref="H3:H7" si="5">1024*$B$12*(F3-1)/$B$13</f>
        <v>530.628923076923</v>
      </c>
      <c r="I3">
        <f t="shared" ref="I3:I7" si="6">_xlfn.FLOOR.MATH(H3)</f>
        <v>530</v>
      </c>
      <c r="J3">
        <f t="shared" ref="J3:J7" si="7">1+ ((I3/1024)*$B$13)/$B$12</f>
        <v>3.0744614228456912</v>
      </c>
      <c r="K3" s="4">
        <f t="shared" ref="K3:K7" si="8">(F3-J3)/F3</f>
        <v>8.0003757515025866E-4</v>
      </c>
    </row>
    <row r="4" spans="1:11" x14ac:dyDescent="0.3">
      <c r="A4" s="1">
        <v>0.15</v>
      </c>
      <c r="B4" s="1">
        <v>3</v>
      </c>
      <c r="C4" s="1">
        <f t="shared" si="0"/>
        <v>15</v>
      </c>
      <c r="D4" s="1">
        <f t="shared" si="1"/>
        <v>333.33333333333331</v>
      </c>
      <c r="E4">
        <f t="shared" si="2"/>
        <v>0.1</v>
      </c>
      <c r="F4">
        <f t="shared" si="3"/>
        <v>3.333333333333333</v>
      </c>
      <c r="G4">
        <f t="shared" si="4"/>
        <v>11.643333333333333</v>
      </c>
      <c r="H4">
        <f t="shared" si="5"/>
        <v>596.13866666666661</v>
      </c>
      <c r="I4">
        <f t="shared" si="6"/>
        <v>596</v>
      </c>
      <c r="J4">
        <f t="shared" si="7"/>
        <v>3.3327905811623246</v>
      </c>
      <c r="K4" s="4">
        <f t="shared" si="8"/>
        <v>1.6282565130252281E-4</v>
      </c>
    </row>
    <row r="5" spans="1:11" x14ac:dyDescent="0.3">
      <c r="A5" s="1">
        <v>20</v>
      </c>
      <c r="B5" s="1">
        <v>2.7</v>
      </c>
      <c r="C5" s="1">
        <f t="shared" si="0"/>
        <v>13.5</v>
      </c>
      <c r="D5" s="1">
        <f t="shared" si="1"/>
        <v>370.37037037037038</v>
      </c>
      <c r="E5">
        <f t="shared" si="2"/>
        <v>0.1</v>
      </c>
      <c r="F5">
        <f t="shared" si="3"/>
        <v>3.7037037037037037</v>
      </c>
      <c r="G5">
        <f t="shared" si="4"/>
        <v>13.491481481481483</v>
      </c>
      <c r="H5">
        <f t="shared" si="5"/>
        <v>690.76385185185188</v>
      </c>
      <c r="I5">
        <f t="shared" si="6"/>
        <v>690</v>
      </c>
      <c r="J5">
        <f t="shared" si="7"/>
        <v>3.7007139278557113</v>
      </c>
      <c r="K5" s="4">
        <f t="shared" si="8"/>
        <v>8.0723947895795507E-4</v>
      </c>
    </row>
    <row r="6" spans="1:11" x14ac:dyDescent="0.3">
      <c r="A6" s="1">
        <v>2</v>
      </c>
      <c r="B6" s="1">
        <v>2.35</v>
      </c>
      <c r="C6" s="1">
        <f t="shared" si="0"/>
        <v>11.75</v>
      </c>
      <c r="D6" s="1">
        <f t="shared" si="1"/>
        <v>425.531914893617</v>
      </c>
      <c r="E6">
        <f t="shared" si="2"/>
        <v>0.1</v>
      </c>
      <c r="F6">
        <f t="shared" si="3"/>
        <v>4.2553191489361701</v>
      </c>
      <c r="G6">
        <f t="shared" si="4"/>
        <v>16.244042553191491</v>
      </c>
      <c r="H6">
        <f t="shared" si="5"/>
        <v>831.69497872340435</v>
      </c>
      <c r="I6">
        <f t="shared" si="6"/>
        <v>831</v>
      </c>
      <c r="J6">
        <f t="shared" si="7"/>
        <v>4.2525989478957911</v>
      </c>
      <c r="K6" s="4">
        <f t="shared" si="8"/>
        <v>6.3924724448908069E-4</v>
      </c>
    </row>
    <row r="7" spans="1:11" x14ac:dyDescent="0.3">
      <c r="A7" s="1">
        <v>45</v>
      </c>
      <c r="B7" s="1">
        <v>3</v>
      </c>
      <c r="C7" s="1">
        <f t="shared" si="0"/>
        <v>15</v>
      </c>
      <c r="D7" s="1">
        <f t="shared" si="1"/>
        <v>333.33333333333331</v>
      </c>
      <c r="E7">
        <f t="shared" si="2"/>
        <v>0.1</v>
      </c>
      <c r="F7">
        <f t="shared" si="3"/>
        <v>3.333333333333333</v>
      </c>
      <c r="G7">
        <f t="shared" si="4"/>
        <v>11.643333333333333</v>
      </c>
      <c r="H7">
        <f t="shared" si="5"/>
        <v>596.13866666666661</v>
      </c>
      <c r="I7">
        <f t="shared" si="6"/>
        <v>596</v>
      </c>
      <c r="J7">
        <f t="shared" si="7"/>
        <v>3.3327905811623246</v>
      </c>
      <c r="K7" s="4">
        <f t="shared" si="8"/>
        <v>1.6282565130252281E-4</v>
      </c>
    </row>
    <row r="8" spans="1:11" x14ac:dyDescent="0.3">
      <c r="D8" s="3">
        <f>AVERAGE(D2:D7)</f>
        <v>354.56735279430319</v>
      </c>
      <c r="E8">
        <f t="shared" si="2"/>
        <v>0.1</v>
      </c>
    </row>
    <row r="10" spans="1:11" x14ac:dyDescent="0.3">
      <c r="A10" t="s">
        <v>12</v>
      </c>
      <c r="B10" s="1">
        <v>100</v>
      </c>
    </row>
    <row r="12" spans="1:11" x14ac:dyDescent="0.3">
      <c r="A12" t="s">
        <v>13</v>
      </c>
      <c r="B12">
        <v>4.99</v>
      </c>
    </row>
    <row r="13" spans="1:11" x14ac:dyDescent="0.3">
      <c r="A13" t="s">
        <v>16</v>
      </c>
      <c r="B13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K8"/>
  <sheetViews>
    <sheetView workbookViewId="0">
      <selection activeCell="H11" sqref="H11"/>
    </sheetView>
  </sheetViews>
  <sheetFormatPr defaultRowHeight="14.4" x14ac:dyDescent="0.3"/>
  <cols>
    <col min="1" max="1" width="13" customWidth="1"/>
    <col min="2" max="2" width="10.88671875" customWidth="1"/>
    <col min="3" max="3" width="11.77734375" customWidth="1"/>
    <col min="7" max="7" width="13.6640625" customWidth="1"/>
  </cols>
  <sheetData>
    <row r="1" spans="1:11" x14ac:dyDescent="0.3">
      <c r="A1" t="s">
        <v>23</v>
      </c>
      <c r="B1" t="s">
        <v>24</v>
      </c>
      <c r="C1" t="s">
        <v>25</v>
      </c>
    </row>
    <row r="2" spans="1:11" x14ac:dyDescent="0.3">
      <c r="A2" t="s">
        <v>27</v>
      </c>
      <c r="B2">
        <v>14.28</v>
      </c>
      <c r="C2">
        <v>28.57</v>
      </c>
      <c r="G2" t="s">
        <v>35</v>
      </c>
      <c r="H2">
        <f>SUM(B2:B100)</f>
        <v>22.256</v>
      </c>
      <c r="J2" t="s">
        <v>35</v>
      </c>
      <c r="K2">
        <f>SUM(B3:B100)</f>
        <v>7.976</v>
      </c>
    </row>
    <row r="3" spans="1:11" x14ac:dyDescent="0.3">
      <c r="A3" t="s">
        <v>28</v>
      </c>
      <c r="B3">
        <v>5</v>
      </c>
      <c r="C3">
        <v>6</v>
      </c>
      <c r="G3" t="s">
        <v>36</v>
      </c>
      <c r="H3">
        <f>SUM(C2:C100)</f>
        <v>38.121999999999993</v>
      </c>
      <c r="J3" t="s">
        <v>36</v>
      </c>
      <c r="K3">
        <f>SUM(C3:C100)</f>
        <v>9.5520000000000014</v>
      </c>
    </row>
    <row r="4" spans="1:11" x14ac:dyDescent="0.3">
      <c r="A4" t="s">
        <v>29</v>
      </c>
      <c r="B4">
        <v>2</v>
      </c>
      <c r="C4">
        <v>2.2999999999999998</v>
      </c>
      <c r="G4" t="s">
        <v>26</v>
      </c>
      <c r="H4">
        <v>5000</v>
      </c>
    </row>
    <row r="5" spans="1:11" x14ac:dyDescent="0.3">
      <c r="A5" t="s">
        <v>30</v>
      </c>
      <c r="B5">
        <v>0.45</v>
      </c>
      <c r="C5">
        <v>0.51</v>
      </c>
      <c r="G5" t="s">
        <v>33</v>
      </c>
      <c r="H5">
        <f>H4/H3</f>
        <v>131.15786160222447</v>
      </c>
    </row>
    <row r="6" spans="1:11" x14ac:dyDescent="0.3">
      <c r="A6" t="s">
        <v>31</v>
      </c>
      <c r="B6">
        <v>1E-3</v>
      </c>
      <c r="C6">
        <v>2E-3</v>
      </c>
      <c r="G6" t="s">
        <v>32</v>
      </c>
      <c r="H6">
        <f>H4/H2</f>
        <v>224.65851905104242</v>
      </c>
    </row>
    <row r="7" spans="1:11" x14ac:dyDescent="0.3">
      <c r="A7" t="s">
        <v>34</v>
      </c>
      <c r="B7">
        <v>0.14499999999999999</v>
      </c>
      <c r="C7">
        <v>0.16</v>
      </c>
    </row>
    <row r="8" spans="1:11" x14ac:dyDescent="0.3">
      <c r="A8" t="s">
        <v>37</v>
      </c>
      <c r="B8">
        <v>0.38</v>
      </c>
      <c r="C8">
        <v>0.57999999999999996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5"/>
  <sheetViews>
    <sheetView tabSelected="1" workbookViewId="0">
      <selection activeCell="B6" sqref="B6"/>
    </sheetView>
  </sheetViews>
  <sheetFormatPr defaultRowHeight="14.4" x14ac:dyDescent="0.3"/>
  <sheetData>
    <row r="1" spans="1:6" x14ac:dyDescent="0.3">
      <c r="A1" t="s">
        <v>23</v>
      </c>
      <c r="B1" t="s">
        <v>39</v>
      </c>
      <c r="C1" t="s">
        <v>40</v>
      </c>
    </row>
    <row r="2" spans="1:6" x14ac:dyDescent="0.3">
      <c r="A2" t="s">
        <v>38</v>
      </c>
      <c r="B2">
        <v>0</v>
      </c>
      <c r="C2">
        <v>1</v>
      </c>
    </row>
    <row r="3" spans="1:6" x14ac:dyDescent="0.3">
      <c r="A3" t="s">
        <v>29</v>
      </c>
      <c r="B3">
        <v>7.0000000000000007E-2</v>
      </c>
      <c r="C3">
        <v>100</v>
      </c>
      <c r="E3" t="s">
        <v>42</v>
      </c>
      <c r="F3">
        <f>(B3*C3+B4)*C4 + B5</f>
        <v>40.712500000000006</v>
      </c>
    </row>
    <row r="4" spans="1:6" x14ac:dyDescent="0.3">
      <c r="A4" t="s">
        <v>30</v>
      </c>
      <c r="B4">
        <v>0.25</v>
      </c>
      <c r="C4">
        <v>4.25</v>
      </c>
    </row>
    <row r="5" spans="1:6" x14ac:dyDescent="0.3">
      <c r="A5" t="s">
        <v>41</v>
      </c>
      <c r="B5">
        <v>9.9</v>
      </c>
      <c r="C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sqref="A1:XFD1"/>
    </sheetView>
  </sheetViews>
  <sheetFormatPr defaultRowHeight="14.4" x14ac:dyDescent="0.3"/>
  <cols>
    <col min="2" max="2" width="15.21875" customWidth="1"/>
    <col min="3" max="3" width="12" customWidth="1"/>
    <col min="4" max="4" width="11.109375" customWidth="1"/>
  </cols>
  <sheetData>
    <row r="1" spans="1:4" ht="43.2" x14ac:dyDescent="0.3">
      <c r="A1" s="1" t="s">
        <v>0</v>
      </c>
      <c r="B1" s="5" t="s">
        <v>22</v>
      </c>
      <c r="C1" t="s">
        <v>20</v>
      </c>
      <c r="D1" t="s">
        <v>21</v>
      </c>
    </row>
    <row r="2" spans="1:4" x14ac:dyDescent="0.3">
      <c r="A2" s="1">
        <v>0.15</v>
      </c>
      <c r="B2">
        <v>350</v>
      </c>
      <c r="C2">
        <f>5/$B2 * 1000</f>
        <v>14.285714285714285</v>
      </c>
      <c r="D2">
        <f>10/$B2 * 1000</f>
        <v>28.571428571428569</v>
      </c>
    </row>
    <row r="3" spans="1:4" x14ac:dyDescent="0.3">
      <c r="A3" s="1">
        <v>2</v>
      </c>
      <c r="B3">
        <v>350</v>
      </c>
      <c r="C3">
        <f t="shared" ref="C3:C7" si="0">5/$B3 * 1000</f>
        <v>14.285714285714285</v>
      </c>
      <c r="D3">
        <f t="shared" ref="D3:D7" si="1">10/$B3 * 1000</f>
        <v>28.571428571428569</v>
      </c>
    </row>
    <row r="4" spans="1:4" x14ac:dyDescent="0.3">
      <c r="A4" s="1">
        <v>20</v>
      </c>
      <c r="B4">
        <v>175</v>
      </c>
      <c r="C4">
        <f t="shared" si="0"/>
        <v>28.571428571428569</v>
      </c>
      <c r="D4">
        <f t="shared" si="1"/>
        <v>57.142857142857139</v>
      </c>
    </row>
    <row r="5" spans="1:4" x14ac:dyDescent="0.3">
      <c r="A5" s="1">
        <v>45</v>
      </c>
      <c r="B5">
        <v>350</v>
      </c>
      <c r="C5">
        <f t="shared" si="0"/>
        <v>14.285714285714285</v>
      </c>
      <c r="D5">
        <f t="shared" si="1"/>
        <v>28.571428571428569</v>
      </c>
    </row>
    <row r="6" spans="1:4" x14ac:dyDescent="0.3">
      <c r="A6" s="1">
        <v>250</v>
      </c>
      <c r="B6">
        <v>175</v>
      </c>
      <c r="C6">
        <f t="shared" si="0"/>
        <v>28.571428571428569</v>
      </c>
      <c r="D6">
        <f t="shared" si="1"/>
        <v>57.142857142857139</v>
      </c>
    </row>
    <row r="7" spans="1:4" x14ac:dyDescent="0.3">
      <c r="A7" s="1">
        <v>3000</v>
      </c>
      <c r="B7">
        <v>175</v>
      </c>
      <c r="C7">
        <f t="shared" si="0"/>
        <v>28.571428571428569</v>
      </c>
      <c r="D7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INA + VGA</vt:lpstr>
      <vt:lpstr>Battery Estimate</vt:lpstr>
      <vt:lpstr>PP Noise Estimate</vt:lpstr>
      <vt:lpstr>Load Cell Current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2025-11-20T20:40:28Z</dcterms:modified>
</cp:coreProperties>
</file>